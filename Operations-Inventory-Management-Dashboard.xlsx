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roducts" sheetId="2" r:id="rId5"/>
    <sheet state="visible" name="Suppliers" sheetId="3" r:id="rId6"/>
    <sheet state="visible" name="Inventory" sheetId="4" r:id="rId7"/>
    <sheet state="visible" name="Sales" sheetId="5" r:id="rId8"/>
    <sheet state="visible" name="Metrics" sheetId="6" r:id="rId9"/>
    <sheet state="visible" name="ABC_Analysis" sheetId="7" r:id="rId10"/>
    <sheet state="visible" name="Inventory_Health" sheetId="8" r:id="rId11"/>
  </sheets>
  <definedNames/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<sst xmlns="http://schemas.openxmlformats.org/spreadsheetml/2006/main" count="267" uniqueCount="84">
  <si>
    <t>OrderID</t>
  </si>
  <si>
    <t>OrderDate</t>
  </si>
  <si>
    <t>ProductID</t>
  </si>
  <si>
    <t>Quantity</t>
  </si>
  <si>
    <t>UnitCost</t>
  </si>
  <si>
    <t>SupplierID</t>
  </si>
  <si>
    <t>PromisedDate</t>
  </si>
  <si>
    <t>DeliveredDate</t>
  </si>
  <si>
    <t>Warehouse</t>
  </si>
  <si>
    <t>TotalCost</t>
  </si>
  <si>
    <t>LeadTime</t>
  </si>
  <si>
    <t>DaysLate</t>
  </si>
  <si>
    <t>OnTime?</t>
  </si>
  <si>
    <t>DeliveryStatus</t>
  </si>
  <si>
    <t>Month</t>
  </si>
  <si>
    <t>P101</t>
  </si>
  <si>
    <t>S01</t>
  </si>
  <si>
    <t>North</t>
  </si>
  <si>
    <t>P102</t>
  </si>
  <si>
    <t>S02</t>
  </si>
  <si>
    <t>South</t>
  </si>
  <si>
    <t>P103</t>
  </si>
  <si>
    <t>East</t>
  </si>
  <si>
    <t>S03</t>
  </si>
  <si>
    <t>P104</t>
  </si>
  <si>
    <t>West</t>
  </si>
  <si>
    <t>P105</t>
  </si>
  <si>
    <t>ProductName</t>
  </si>
  <si>
    <t>Category</t>
  </si>
  <si>
    <t>SellPrice</t>
  </si>
  <si>
    <t>SafetyStock</t>
  </si>
  <si>
    <t>ReorderPoint</t>
  </si>
  <si>
    <t>Widget A</t>
  </si>
  <si>
    <t>Electronics</t>
  </si>
  <si>
    <t>Gadget B</t>
  </si>
  <si>
    <t>Accessories</t>
  </si>
  <si>
    <t>Component C</t>
  </si>
  <si>
    <t>Device D</t>
  </si>
  <si>
    <t>Hardware</t>
  </si>
  <si>
    <t>Part E</t>
  </si>
  <si>
    <t>SupplierName</t>
  </si>
  <si>
    <t>Location</t>
  </si>
  <si>
    <t>ContractCost</t>
  </si>
  <si>
    <t>PaymentTerms</t>
  </si>
  <si>
    <t>Alpha Parts Co</t>
  </si>
  <si>
    <t>China</t>
  </si>
  <si>
    <t>Net 30</t>
  </si>
  <si>
    <t>Beta Supply Ltd</t>
  </si>
  <si>
    <t>Vietnam</t>
  </si>
  <si>
    <t>Net 45</t>
  </si>
  <si>
    <t>Gamma Materials</t>
  </si>
  <si>
    <t>Mexico</t>
  </si>
  <si>
    <t>CurrentStock</t>
  </si>
  <si>
    <t>LastUpdated</t>
  </si>
  <si>
    <t>UnitsSold</t>
  </si>
  <si>
    <t>Revenue</t>
  </si>
  <si>
    <t>Supplier</t>
  </si>
  <si>
    <t>TotalOrders</t>
  </si>
  <si>
    <t>OnTimeOrders</t>
  </si>
  <si>
    <t>OnTime%</t>
  </si>
  <si>
    <t>AvgLeadTime</t>
  </si>
  <si>
    <t>TotalSpend</t>
  </si>
  <si>
    <t>COUNT of OrderID</t>
  </si>
  <si>
    <t>SUM of TotalCost</t>
  </si>
  <si>
    <t>AVERAGE of LeadTime</t>
  </si>
  <si>
    <t>AVERAGE of DaysLate</t>
  </si>
  <si>
    <t>Grand Total</t>
  </si>
  <si>
    <t>TotalQtyOrdered</t>
  </si>
  <si>
    <t>AvgOrderSize</t>
  </si>
  <si>
    <t>CurrentStockAll</t>
  </si>
  <si>
    <t>SUM of OrderID</t>
  </si>
  <si>
    <t>February</t>
  </si>
  <si>
    <t>January</t>
  </si>
  <si>
    <t>Early</t>
  </si>
  <si>
    <t>Late</t>
  </si>
  <si>
    <t>On-Time</t>
  </si>
  <si>
    <t xml:space="preserve"> </t>
  </si>
  <si>
    <t>AnnualUsageValue</t>
  </si>
  <si>
    <t>CumulativeValue</t>
  </si>
  <si>
    <t>Cumulative%</t>
  </si>
  <si>
    <t>TotalStock</t>
  </si>
  <si>
    <t>AvgMonthlySales</t>
  </si>
  <si>
    <t>DaysOfSupply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</si>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</sst>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"/>
    <numFmt numFmtId="166" formatCode="yyyy-mm"/>
  </numFmts>
  <fonts count="5">
    <font>
      <sz val="10.0"/>
      <color rgb="FF000000"/>
      <name val="Arial"/>
      <scheme val="minor"/>
    </font>
    <font>
      <b/>
      <color rgb="FF24292E"/>
      <name val="Spectral"/>
    </font>
    <font>
      <b/>
      <color theme="1"/>
      <name val="Spectral"/>
    </font>
    <font>
      <color rgb="FF24292E"/>
      <name val="Spectral"/>
    </font>
    <font>
      <color theme="1"/>
      <name val="Spectr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Font="1"/>
    <xf borderId="1" fillId="2" fontId="3" numFmtId="0" xfId="0" applyAlignment="1" applyBorder="1" applyFont="1">
      <alignment readingOrder="0"/>
    </xf>
    <xf borderId="1" fillId="2" fontId="3" numFmtId="164" xfId="0" applyAlignment="1" applyBorder="1" applyFont="1" applyNumberFormat="1">
      <alignment readingOrder="0"/>
    </xf>
    <xf borderId="1" fillId="0" fontId="4" numFmtId="0" xfId="0" applyBorder="1" applyFont="1"/>
    <xf borderId="0" fillId="0" fontId="4" numFmtId="0" xfId="0" applyFont="1"/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1" fillId="2" fontId="3" numFmtId="165" xfId="0" applyAlignment="1" applyBorder="1" applyFont="1" applyNumberFormat="1">
      <alignment readingOrder="0"/>
    </xf>
    <xf borderId="1" fillId="2" fontId="3" numFmtId="166" xfId="0" applyAlignment="1" applyBorder="1" applyFont="1" applyNumberFormat="1">
      <alignment readingOrder="0"/>
    </xf>
    <xf borderId="1" fillId="0" fontId="2" numFmtId="0" xfId="0" applyBorder="1" applyFont="1"/>
    <xf borderId="1" fillId="0" fontId="4" numFmtId="2" xfId="0" applyBorder="1" applyFont="1" applyNumberFormat="1"/>
    <xf borderId="1" fillId="0" fontId="4" numFmtId="0" xfId="0" applyBorder="1" applyFont="1"/>
    <xf borderId="1" fillId="0" fontId="2" numFmtId="0" xfId="0" applyAlignment="1" applyBorder="1" applyFont="1">
      <alignment readingOrder="0" vertical="bottom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2" numFmtId="0" xfId="0" applyBorder="1" applyFont="1"/>
    <xf borderId="1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8">
    <tableStyle count="3" pivot="0" name="Orders-style">
      <tableStyleElement dxfId="1" type="headerRow"/>
      <tableStyleElement dxfId="2" type="firstRowStripe"/>
      <tableStyleElement dxfId="3" type="secondRowStripe"/>
    </tableStyle>
    <tableStyle count="3" pivot="0" name="Products-style">
      <tableStyleElement dxfId="1" type="headerRow"/>
      <tableStyleElement dxfId="2" type="firstRowStripe"/>
      <tableStyleElement dxfId="3" type="secondRowStripe"/>
    </tableStyle>
    <tableStyle count="3" pivot="0" name="Suppliers-style">
      <tableStyleElement dxfId="1" type="headerRow"/>
      <tableStyleElement dxfId="2" type="firstRowStripe"/>
      <tableStyleElement dxfId="3" type="secondRowStripe"/>
    </tableStyle>
    <tableStyle count="3" pivot="0" name="Sales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1" type="headerRow"/>
      <tableStyleElement dxfId="2" type="firstRowStripe"/>
      <tableStyleElement dxfId="3" type="secondRowStripe"/>
    </tableStyle>
    <tableStyle count="3" pivot="0" name="Metrics-style 2">
      <tableStyleElement dxfId="1" type="headerRow"/>
      <tableStyleElement dxfId="2" type="firstRowStripe"/>
      <tableStyleElement dxfId="3" type="secondRowStripe"/>
    </tableStyle>
    <tableStyle count="3" pivot="0" name="ABC_Analysis-style">
      <tableStyleElement dxfId="1" type="headerRow"/>
      <tableStyleElement dxfId="2" type="firstRowStripe"/>
      <tableStyleElement dxfId="3" type="secondRowStripe"/>
    </tableStyle>
    <tableStyle count="3" pivot="0" name="Inventory_Healt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1" sheet="Orders"/>
  </cacheSource>
  <cacheFields>
    <cacheField name="Order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OrderDate" numFmtId="164">
      <sharedItems containsSemiMixedTypes="0" containsDate="1" containsString="0">
        <d v="2024-01-05T00:00:00Z"/>
        <d v="2024-01-06T00:00:00Z"/>
        <d v="2024-01-07T00:00:00Z"/>
        <d v="2024-01-08T00:00:00Z"/>
        <d v="2024-01-10T00:00:00Z"/>
        <d v="2024-01-12T00:00:00Z"/>
        <d v="2024-01-14T00:00:00Z"/>
        <d v="2024-01-15T00:00:00Z"/>
        <d v="2024-01-18T00:00:00Z"/>
        <d v="2024-01-20T00:00:00Z"/>
        <d v="2024-01-22T00:00:00Z"/>
        <d v="2024-01-25T00:00:00Z"/>
        <d v="2024-01-28T00:00:00Z"/>
        <d v="2024-02-01T00:00:00Z"/>
        <d v="2024-02-03T00:00:00Z"/>
        <d v="2024-02-05T00:00:00Z"/>
        <d v="2024-02-08T00:00:00Z"/>
        <d v="2024-02-10T00:00:00Z"/>
        <d v="2024-02-12T00:00:00Z"/>
        <d v="2024-02-15T00:00:00Z"/>
      </sharedItems>
    </cacheField>
    <cacheField name="ProductID" numFmtId="0">
      <sharedItems>
        <s v="P101"/>
        <s v="P102"/>
        <s v="P103"/>
        <s v="P104"/>
        <s v="P105"/>
      </sharedItems>
    </cacheField>
    <cacheField name="Quantity" numFmtId="0">
      <sharedItems containsSemiMixedTypes="0" containsString="0" containsNumber="1" containsInteger="1">
        <n v="500.0"/>
        <n v="300.0"/>
        <n v="750.0"/>
        <n v="200.0"/>
        <n v="100.0"/>
        <n v="450.0"/>
        <n v="600.0"/>
        <n v="400.0"/>
        <n v="350.0"/>
        <n v="250.0"/>
        <n v="800.0"/>
        <n v="550.0"/>
        <n v="150.0"/>
        <n v="700.0"/>
      </sharedItems>
    </cacheField>
    <cacheField name="UnitCost" numFmtId="0">
      <sharedItems containsSemiMixedTypes="0" containsString="0" containsNumber="1">
        <n v="12.5"/>
        <n v="8.75"/>
        <n v="22.0"/>
        <n v="45.0"/>
        <n v="15.25"/>
      </sharedItems>
    </cacheField>
    <cacheField name="SupplierID" numFmtId="0">
      <sharedItems>
        <s v="S01"/>
        <s v="S02"/>
        <s v="S03"/>
      </sharedItems>
    </cacheField>
    <cacheField name="PromisedDate" numFmtId="164">
      <sharedItems containsSemiMixedTypes="0" containsDate="1" containsString="0">
        <d v="2024-01-10T00:00:00Z"/>
        <d v="2024-01-12T00:00:00Z"/>
        <d v="2024-01-14T00:00:00Z"/>
        <d v="2024-01-13T00:00:00Z"/>
        <d v="2024-01-15T00:00:00Z"/>
        <d v="2024-01-18T00:00:00Z"/>
        <d v="2024-01-20T00:00:00Z"/>
        <d v="2024-01-22T00:00:00Z"/>
        <d v="2024-01-24T00:00:00Z"/>
        <d v="2024-01-26T00:00:00Z"/>
        <d v="2024-01-28T00:00:00Z"/>
        <d v="2024-01-31T00:00:00Z"/>
        <d v="2024-02-03T00:00:00Z"/>
        <d v="2024-02-07T00:00:00Z"/>
        <d v="2024-02-09T00:00:00Z"/>
        <d v="2024-02-11T00:00:00Z"/>
        <d v="2024-02-14T00:00:00Z"/>
        <d v="2024-02-16T00:00:00Z"/>
        <d v="2024-02-18T00:00:00Z"/>
        <d v="2024-02-21T00:00:00Z"/>
      </sharedItems>
    </cacheField>
    <cacheField name="DeliveredDate" numFmtId="164">
      <sharedItems containsSemiMixedTypes="0" containsDate="1" containsString="0">
        <d v="2024-01-10T00:00:00Z"/>
        <d v="2024-01-14T00:00:00Z"/>
        <d v="2024-01-13T00:00:00Z"/>
        <d v="2024-01-15T00:00:00Z"/>
        <d v="2024-01-20T00:00:00Z"/>
        <d v="2024-01-19T00:00:00Z"/>
        <d v="2024-01-25T00:00:00Z"/>
        <d v="2024-01-24T00:00:00Z"/>
        <d v="2024-01-28T00:00:00Z"/>
        <d v="2024-01-27T00:00:00Z"/>
        <d v="2024-02-02T00:00:00Z"/>
        <d v="2024-02-03T00:00:00Z"/>
        <d v="2024-02-06T00:00:00Z"/>
        <d v="2024-02-11T00:00:00Z"/>
        <d v="2024-02-16T00:00:00Z"/>
        <d v="2024-02-15T00:00:00Z"/>
        <d v="2024-02-18T00:00:00Z"/>
        <d v="2024-02-23T00:00:00Z"/>
      </sharedItems>
    </cacheField>
    <cacheField name="Warehouse" numFmtId="0">
      <sharedItems>
        <s v="North"/>
        <s v="South"/>
        <s v="East"/>
        <s v="West"/>
      </sharedItems>
    </cacheField>
    <cacheField name="TotalCost" numFmtId="0">
      <sharedItems containsSemiMixedTypes="0" containsString="0" containsNumber="1">
        <n v="6250.0"/>
        <n v="2625.0"/>
        <n v="16500.0"/>
        <n v="2500.0"/>
        <n v="4500.0"/>
        <n v="3937.5"/>
        <n v="9150.0"/>
        <n v="8800.0"/>
        <n v="4375.0"/>
        <n v="11250.0"/>
        <n v="12200.0"/>
        <n v="4812.5"/>
        <n v="6600.0"/>
        <n v="5625.0"/>
        <n v="6750.0"/>
        <n v="10675.0"/>
        <n v="3500.0"/>
        <n v="11000.0"/>
        <n v="7500.0"/>
        <n v="9000.0"/>
      </sharedItems>
    </cacheField>
    <cacheField name="LeadTime" numFmtId="0">
      <sharedItems containsSemiMixedTypes="0" containsString="0" containsNumber="1" containsInteger="1">
        <n v="5.0"/>
        <n v="8.0"/>
        <n v="6.0"/>
        <n v="7.0"/>
        <n v="10.0"/>
      </sharedItems>
    </cacheField>
    <cacheField name="DaysLate" numFmtId="0">
      <sharedItems containsSemiMixedTypes="0" containsString="0" containsNumber="1" containsInteger="1">
        <n v="0.0"/>
        <n v="2.0"/>
        <n v="-1.0"/>
        <n v="3.0"/>
      </sharedItems>
    </cacheField>
    <cacheField name="OnTime?" numFmtId="0">
      <sharedItems>
        <s v="Yes"/>
        <s v="No"/>
      </sharedItems>
    </cacheField>
    <cacheField name="DeliveryStatus" numFmtId="0">
      <sharedItems>
        <s v="On-Time"/>
        <s v="Late"/>
        <s v="Early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1" sheet="Orders"/>
  </cacheSource>
  <cacheFields>
    <cacheField name="Order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OrderDate" numFmtId="164">
      <sharedItems containsSemiMixedTypes="0" containsDate="1" containsString="0">
        <d v="2024-01-05T00:00:00Z"/>
        <d v="2024-01-06T00:00:00Z"/>
        <d v="2024-01-07T00:00:00Z"/>
        <d v="2024-01-08T00:00:00Z"/>
        <d v="2024-01-10T00:00:00Z"/>
        <d v="2024-01-12T00:00:00Z"/>
        <d v="2024-01-14T00:00:00Z"/>
        <d v="2024-01-15T00:00:00Z"/>
        <d v="2024-01-18T00:00:00Z"/>
        <d v="2024-01-20T00:00:00Z"/>
        <d v="2024-01-22T00:00:00Z"/>
        <d v="2024-01-25T00:00:00Z"/>
        <d v="2024-01-28T00:00:00Z"/>
        <d v="2024-02-01T00:00:00Z"/>
        <d v="2024-02-03T00:00:00Z"/>
        <d v="2024-02-05T00:00:00Z"/>
        <d v="2024-02-08T00:00:00Z"/>
        <d v="2024-02-10T00:00:00Z"/>
        <d v="2024-02-12T00:00:00Z"/>
        <d v="2024-02-15T00:00:00Z"/>
      </sharedItems>
    </cacheField>
    <cacheField name="ProductID" numFmtId="0">
      <sharedItems>
        <s v="P101"/>
        <s v="P102"/>
        <s v="P103"/>
        <s v="P104"/>
        <s v="P105"/>
      </sharedItems>
    </cacheField>
    <cacheField name="Quantity" numFmtId="0">
      <sharedItems containsSemiMixedTypes="0" containsString="0" containsNumber="1" containsInteger="1">
        <n v="500.0"/>
        <n v="300.0"/>
        <n v="750.0"/>
        <n v="200.0"/>
        <n v="100.0"/>
        <n v="450.0"/>
        <n v="600.0"/>
        <n v="400.0"/>
        <n v="350.0"/>
        <n v="250.0"/>
        <n v="800.0"/>
        <n v="550.0"/>
        <n v="150.0"/>
        <n v="700.0"/>
      </sharedItems>
    </cacheField>
    <cacheField name="UnitCost" numFmtId="0">
      <sharedItems containsSemiMixedTypes="0" containsString="0" containsNumber="1">
        <n v="12.5"/>
        <n v="8.75"/>
        <n v="22.0"/>
        <n v="45.0"/>
        <n v="15.25"/>
      </sharedItems>
    </cacheField>
    <cacheField name="SupplierID" numFmtId="0">
      <sharedItems>
        <s v="S01"/>
        <s v="S02"/>
        <s v="S03"/>
      </sharedItems>
    </cacheField>
    <cacheField name="PromisedDate" numFmtId="164">
      <sharedItems containsSemiMixedTypes="0" containsDate="1" containsString="0">
        <d v="2024-01-10T00:00:00Z"/>
        <d v="2024-01-12T00:00:00Z"/>
        <d v="2024-01-14T00:00:00Z"/>
        <d v="2024-01-13T00:00:00Z"/>
        <d v="2024-01-15T00:00:00Z"/>
        <d v="2024-01-18T00:00:00Z"/>
        <d v="2024-01-20T00:00:00Z"/>
        <d v="2024-01-22T00:00:00Z"/>
        <d v="2024-01-24T00:00:00Z"/>
        <d v="2024-01-26T00:00:00Z"/>
        <d v="2024-01-28T00:00:00Z"/>
        <d v="2024-01-31T00:00:00Z"/>
        <d v="2024-02-03T00:00:00Z"/>
        <d v="2024-02-07T00:00:00Z"/>
        <d v="2024-02-09T00:00:00Z"/>
        <d v="2024-02-11T00:00:00Z"/>
        <d v="2024-02-14T00:00:00Z"/>
        <d v="2024-02-16T00:00:00Z"/>
        <d v="2024-02-18T00:00:00Z"/>
        <d v="2024-02-21T00:00:00Z"/>
      </sharedItems>
    </cacheField>
    <cacheField name="DeliveredDate" numFmtId="164">
      <sharedItems containsSemiMixedTypes="0" containsDate="1" containsString="0">
        <d v="2024-01-10T00:00:00Z"/>
        <d v="2024-01-14T00:00:00Z"/>
        <d v="2024-01-13T00:00:00Z"/>
        <d v="2024-01-15T00:00:00Z"/>
        <d v="2024-01-20T00:00:00Z"/>
        <d v="2024-01-19T00:00:00Z"/>
        <d v="2024-01-25T00:00:00Z"/>
        <d v="2024-01-24T00:00:00Z"/>
        <d v="2024-01-28T00:00:00Z"/>
        <d v="2024-01-27T00:00:00Z"/>
        <d v="2024-02-02T00:00:00Z"/>
        <d v="2024-02-03T00:00:00Z"/>
        <d v="2024-02-06T00:00:00Z"/>
        <d v="2024-02-11T00:00:00Z"/>
        <d v="2024-02-16T00:00:00Z"/>
        <d v="2024-02-15T00:00:00Z"/>
        <d v="2024-02-18T00:00:00Z"/>
        <d v="2024-02-23T00:00:00Z"/>
      </sharedItems>
    </cacheField>
    <cacheField name="Warehouse" numFmtId="0">
      <sharedItems>
        <s v="North"/>
        <s v="South"/>
        <s v="East"/>
        <s v="West"/>
      </sharedItems>
    </cacheField>
    <cacheField name="TotalCost" numFmtId="0">
      <sharedItems containsSemiMixedTypes="0" containsString="0" containsNumber="1">
        <n v="6250.0"/>
        <n v="2625.0"/>
        <n v="16500.0"/>
        <n v="2500.0"/>
        <n v="4500.0"/>
        <n v="3937.5"/>
        <n v="9150.0"/>
        <n v="8800.0"/>
        <n v="4375.0"/>
        <n v="11250.0"/>
        <n v="12200.0"/>
        <n v="4812.5"/>
        <n v="6600.0"/>
        <n v="5625.0"/>
        <n v="6750.0"/>
        <n v="10675.0"/>
        <n v="3500.0"/>
        <n v="11000.0"/>
        <n v="7500.0"/>
        <n v="9000.0"/>
      </sharedItems>
    </cacheField>
    <cacheField name="LeadTime" numFmtId="0">
      <sharedItems containsSemiMixedTypes="0" containsString="0" containsNumber="1" containsInteger="1">
        <n v="5.0"/>
        <n v="8.0"/>
        <n v="6.0"/>
        <n v="7.0"/>
        <n v="10.0"/>
      </sharedItems>
    </cacheField>
    <cacheField name="DaysLate" numFmtId="0">
      <sharedItems containsSemiMixedTypes="0" containsString="0" containsNumber="1" containsInteger="1">
        <n v="0.0"/>
        <n v="2.0"/>
        <n v="-1.0"/>
        <n v="3.0"/>
      </sharedItems>
    </cacheField>
    <cacheField name="OnTime?" numFmtId="0">
      <sharedItems>
        <s v="Yes"/>
        <s v="No"/>
      </sharedItems>
    </cacheField>
    <cacheField name="DeliveryStatus" numFmtId="0">
      <sharedItems>
        <s v="On-Time"/>
        <s v="Late"/>
        <s v="Early"/>
      </sharedItems>
    </cacheField>
    <cacheField name="Month" numFmtId="0">
      <sharedItems>
        <s v="January"/>
        <s v="Februar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etrics" cacheId="0" dataCaption="" compact="0" compactData="0">
  <location ref="H1:L5" firstHeaderRow="0" firstDataRow="2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tCo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ID" axis="axisRow" compact="0" outline="0" multipleItemSelectionAllowed="1" showAll="0" sortType="ascending">
      <items>
        <item x="0"/>
        <item x="1"/>
        <item x="2"/>
        <item t="default"/>
      </items>
    </pivotField>
    <pivotField name="Promise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elivere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arehouse" compact="0" outline="0" multipleItemSelectionAllowed="1" showAll="0">
      <items>
        <item x="0"/>
        <item x="1"/>
        <item x="2"/>
        <item x="3"/>
        <item t="default"/>
      </items>
    </pivotField>
    <pivotField name="Total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Tim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ysLate" dataField="1" compact="0" outline="0" multipleItemSelectionAllowed="1" showAll="0">
      <items>
        <item x="0"/>
        <item x="1"/>
        <item x="2"/>
        <item x="3"/>
        <item t="default"/>
      </items>
    </pivotField>
    <pivotField name="OnTime?" compact="0" outline="0" multipleItemSelectionAllowed="1" showAll="0">
      <items>
        <item x="0"/>
        <item x="1"/>
        <item t="default"/>
      </items>
    </pivotField>
    <pivotField name="DeliveryStatus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-2"/>
  </colFields>
  <dataFields>
    <dataField name="COUNT of OrderID" fld="0" subtotal="countNums" baseField="0"/>
    <dataField name="SUM of TotalCost" fld="9" baseField="0"/>
    <dataField name="AVERAGE of LeadTime" fld="10" subtotal="average" baseField="0"/>
    <dataField name="AVERAGE of DaysLate" fld="11" subtotal="average" baseField="0"/>
  </dataFields>
</pivotTableDefinition>
</file>

<file path=xl/pivotTables/pivotTable2.xml><?xml version="1.0" encoding="utf-8"?>
<pivotTableDefinition xmlns="http://schemas.openxmlformats.org/spreadsheetml/2006/main" name="Metrics 2" cacheId="0" dataCaption="" compact="0" compactData="0">
  <location ref="H7:M14" firstHeaderRow="0" firstDataRow="1" firstDataCol="1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ID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tCo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ID" compact="0" outline="0" multipleItemSelectionAllowed="1" showAll="0">
      <items>
        <item x="0"/>
        <item x="1"/>
        <item x="2"/>
        <item t="default"/>
      </items>
    </pivotField>
    <pivotField name="Promise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elivere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arehouse" axis="axisCol" compact="0" outline="0" multipleItemSelectionAllowed="1" showAll="0" sortType="ascending">
      <items>
        <item x="2"/>
        <item x="0"/>
        <item x="1"/>
        <item x="3"/>
        <item t="default"/>
      </items>
    </pivotField>
    <pivotField name="Total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ysLate" compact="0" outline="0" multipleItemSelectionAllowed="1" showAll="0">
      <items>
        <item x="0"/>
        <item x="1"/>
        <item x="2"/>
        <item x="3"/>
        <item t="default"/>
      </items>
    </pivotField>
    <pivotField name="OnTime?" compact="0" outline="0" multipleItemSelectionAllowed="1" showAll="0">
      <items>
        <item x="0"/>
        <item x="1"/>
        <item t="default"/>
      </items>
    </pivotField>
    <pivotField name="DeliveryStatus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8"/>
  </colFields>
  <dataFields>
    <dataField name="ProductID" fld="3" baseField="0"/>
  </dataFields>
</pivotTableDefinition>
</file>

<file path=xl/pivotTables/pivotTable3.xml><?xml version="1.0" encoding="utf-8"?>
<pivotTableDefinition xmlns="http://schemas.openxmlformats.org/spreadsheetml/2006/main" name="Metrics 3" cacheId="1" dataCaption="" compact="0" compactData="0">
  <location ref="H16:J19" firstHeaderRow="0" firstDataRow="2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tCo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ID" compact="0" outline="0" multipleItemSelectionAllowed="1" showAll="0">
      <items>
        <item x="0"/>
        <item x="1"/>
        <item x="2"/>
        <item t="default"/>
      </items>
    </pivotField>
    <pivotField name="Promise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elivere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arehouse" compact="0" outline="0" multipleItemSelectionAllowed="1" showAll="0">
      <items>
        <item x="0"/>
        <item x="1"/>
        <item x="2"/>
        <item x="3"/>
        <item t="default"/>
      </items>
    </pivotField>
    <pivotField name="Total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ysLate" compact="0" outline="0" multipleItemSelectionAllowed="1" showAll="0">
      <items>
        <item x="0"/>
        <item x="1"/>
        <item x="2"/>
        <item x="3"/>
        <item t="default"/>
      </items>
    </pivotField>
    <pivotField name="OnTime?" compact="0" outline="0" multipleItemSelectionAllowed="1" showAll="0">
      <items>
        <item x="0"/>
        <item x="1"/>
        <item t="default"/>
      </items>
    </pivotField>
    <pivotField name="DeliveryStatus" compact="0" outline="0" multipleItemSelectionAllowed="1" showAll="0">
      <items>
        <item x="0"/>
        <item x="1"/>
        <item x="2"/>
        <item t="default"/>
      </items>
    </pivotField>
    <pivotField name="Month" axis="axisRow" compact="0" outline="0" multipleItemSelectionAllowed="1" showAll="0" sortType="ascending">
      <items>
        <item x="1"/>
        <item x="0"/>
        <item t="default"/>
      </items>
    </pivotField>
  </pivotFields>
  <rowFields>
    <field x="14"/>
  </rowFields>
  <colFields>
    <field x="-2"/>
  </colFields>
  <dataFields>
    <dataField name="SUM of TotalCost" fld="9" baseField="0"/>
    <dataField name="SUM of OrderID" fld="0" baseField="0"/>
  </dataFields>
</pivotTableDefinition>
</file>

<file path=xl/pivotTables/pivotTable4.xml><?xml version="1.0" encoding="utf-8"?>
<pivotTableDefinition xmlns="http://schemas.openxmlformats.org/spreadsheetml/2006/main" name="Metrics 4" cacheId="1" dataCaption="" compact="0" compactData="0">
  <location ref="H21:L26" firstHeaderRow="0" firstDataRow="1" firstDataCol="1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tCo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ID" axis="axisRow" compact="0" outline="0" multipleItemSelectionAllowed="1" showAll="0" sortType="ascending">
      <items>
        <item x="0"/>
        <item x="1"/>
        <item x="2"/>
        <item t="default"/>
      </items>
    </pivotField>
    <pivotField name="Promise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elivered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arehouse" compact="0" outline="0" multipleItemSelectionAllowed="1" showAll="0">
      <items>
        <item x="0"/>
        <item x="1"/>
        <item x="2"/>
        <item x="3"/>
        <item t="default"/>
      </items>
    </pivotField>
    <pivotField name="Total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ysLate" compact="0" outline="0" multipleItemSelectionAllowed="1" showAll="0">
      <items>
        <item x="0"/>
        <item x="1"/>
        <item x="2"/>
        <item x="3"/>
        <item t="default"/>
      </items>
    </pivotField>
    <pivotField name="OnTime?" compact="0" outline="0" multipleItemSelectionAllowed="1" showAll="0">
      <items>
        <item x="0"/>
        <item x="1"/>
        <item t="default"/>
      </items>
    </pivotField>
    <pivotField name="DeliveryStatus" axis="axisCol" compact="0" outline="0" multipleItemSelectionAllowed="1" showAll="0" sortType="ascending">
      <items>
        <item x="2"/>
        <item x="1"/>
        <item x="0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</pivotFields>
  <rowFields>
    <field x="5"/>
  </rowFields>
  <colFields>
    <field x="13"/>
  </colFields>
  <dataFields>
    <dataField name="SUM of OrderID" fld="0" baseField="0"/>
  </dataFields>
</pivotTableDefinition>
</file>

<file path=xl/tables/table1.xml><?xml version="1.0" encoding="utf-8"?>
<table xmlns="http://schemas.openxmlformats.org/spreadsheetml/2006/main" ref="A1:O21" displayName="Table_1" name="Table_1" id="1">
  <tableColumns count="15">
    <tableColumn name="OrderID" id="1"/>
    <tableColumn name="OrderDate" id="2"/>
    <tableColumn name="ProductID" id="3"/>
    <tableColumn name="Quantity" id="4"/>
    <tableColumn name="UnitCost" id="5"/>
    <tableColumn name="SupplierID" id="6"/>
    <tableColumn name="PromisedDate" id="7"/>
    <tableColumn name="DeliveredDate" id="8"/>
    <tableColumn name="Warehouse" id="9"/>
    <tableColumn name="TotalCost" id="10"/>
    <tableColumn name="LeadTime" id="11"/>
    <tableColumn name="DaysLate" id="12"/>
    <tableColumn name="OnTime?" id="13"/>
    <tableColumn name="DeliveryStatus" id="14"/>
    <tableColumn name="Month" id="15"/>
  </tableColumns>
  <tableStyleInfo name="Orders-style" showColumnStripes="0" showFirstColumn="1" showLastColumn="1" showRowStripes="1"/>
</table>
</file>

<file path=xl/tables/table2.xml><?xml version="1.0" encoding="utf-8"?>
<table xmlns="http://schemas.openxmlformats.org/spreadsheetml/2006/main" ref="A1:F6" displayName="Table_2" name="Table_2" id="2">
  <tableColumns count="6">
    <tableColumn name="ProductID" id="1"/>
    <tableColumn name="ProductName" id="2"/>
    <tableColumn name="Category" id="3"/>
    <tableColumn name="SellPrice" id="4"/>
    <tableColumn name="SafetyStock" id="5"/>
    <tableColumn name="ReorderPoint" id="6"/>
  </tableColumns>
  <tableStyleInfo name="Products-style" showColumnStripes="0" showFirstColumn="1" showLastColumn="1" showRowStripes="1"/>
</table>
</file>

<file path=xl/tables/table3.xml><?xml version="1.0" encoding="utf-8"?>
<table xmlns="http://schemas.openxmlformats.org/spreadsheetml/2006/main" ref="A1:E4" displayName="Table_3" name="Table_3" id="3">
  <tableColumns count="5">
    <tableColumn name="SupplierID" id="1"/>
    <tableColumn name="SupplierName" id="2"/>
    <tableColumn name="Location" id="3"/>
    <tableColumn name="ContractCost" id="4"/>
    <tableColumn name="PaymentTerms" id="5"/>
  </tableColumns>
  <tableStyleInfo name="Suppliers-style" showColumnStripes="0" showFirstColumn="1" showLastColumn="1" showRowStripes="1"/>
</table>
</file>

<file path=xl/tables/table4.xml><?xml version="1.0" encoding="utf-8"?>
<table xmlns="http://schemas.openxmlformats.org/spreadsheetml/2006/main" ref="A1:D26" displayName="Table_4" name="Table_4" id="4">
  <tableColumns count="4">
    <tableColumn name="Month" id="1"/>
    <tableColumn name="ProductID" id="2"/>
    <tableColumn name="UnitsSold" id="3"/>
    <tableColumn name="Revenue" id="4"/>
  </tableColumns>
  <tableStyleInfo name="Sales-style" showColumnStripes="0" showFirstColumn="1" showLastColumn="1" showRowStripes="1"/>
</table>
</file>

<file path=xl/tables/table5.xml><?xml version="1.0" encoding="utf-8"?>
<table xmlns="http://schemas.openxmlformats.org/spreadsheetml/2006/main" ref="A1:F4" displayName="Table_5" name="Table_5" id="5">
  <tableColumns count="6">
    <tableColumn name="Supplier" id="1"/>
    <tableColumn name="TotalOrders" id="2"/>
    <tableColumn name="OnTimeOrders" id="3"/>
    <tableColumn name="OnTime%" id="4"/>
    <tableColumn name="AvgLeadTime" id="5"/>
    <tableColumn name="TotalSpend" id="6"/>
  </tableColumns>
  <tableStyleInfo name="Metrics-style" showColumnStripes="0" showFirstColumn="1" showLastColumn="1" showRowStripes="1"/>
</table>
</file>

<file path=xl/tables/table6.xml><?xml version="1.0" encoding="utf-8"?>
<table xmlns="http://schemas.openxmlformats.org/spreadsheetml/2006/main" ref="A7:E12" displayName="Table_6" name="Table_6" id="6">
  <tableColumns count="5">
    <tableColumn name="ProductID" id="1"/>
    <tableColumn name="TotalQtyOrdered" id="2"/>
    <tableColumn name="TotalCost" id="3"/>
    <tableColumn name="AvgOrderSize" id="4"/>
    <tableColumn name="CurrentStockAll" id="5"/>
  </tableColumns>
  <tableStyleInfo name="Metrics-style 2" showColumnStripes="0" showFirstColumn="1" showLastColumn="1" showRowStripes="1"/>
</table>
</file>

<file path=xl/tables/table7.xml><?xml version="1.0" encoding="utf-8"?>
<table xmlns="http://schemas.openxmlformats.org/spreadsheetml/2006/main" ref="A1:E6" displayName="Table_7" name="Table_7" id="7">
  <tableColumns count="5">
    <tableColumn name="ProductID" id="1"/>
    <tableColumn name="AnnualUsageValue" id="2"/>
    <tableColumn name="CumulativeValue" id="3"/>
    <tableColumn name="Cumulative%" id="4"/>
    <tableColumn name="Category" id="5"/>
  </tableColumns>
  <tableStyleInfo name="ABC_Analysis-style" showColumnStripes="0" showFirstColumn="1" showLastColumn="1" showRowStripes="1"/>
</table>
</file>

<file path=xl/tables/table8.xml><?xml version="1.0" encoding="utf-8"?>
<table xmlns="http://schemas.openxmlformats.org/spreadsheetml/2006/main" ref="A1:F6" displayName="Table_8" name="Table_8" id="8">
  <tableColumns count="6">
    <tableColumn name="ProductID" id="1"/>
    <tableColumn name="TotalStock" id="2"/>
    <tableColumn name="AvgMonthlySales" id="3"/>
    <tableColumn name="DaysOfSupply" id="4"/>
    <tableColumn name="SafetyStock" id="5"/>
    <tableColumn name="Status" id="6"/>
  </tableColumns>
  <tableStyleInfo name="Inventory_Heal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6.xml"/><Relationship Id="rId5" Type="http://schemas.openxmlformats.org/officeDocument/2006/relationships/drawing" Target="../drawings/drawing6.xml"/><Relationship Id="rId8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16" max="2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1001.0</v>
      </c>
      <c r="B2" s="5">
        <v>45296.0</v>
      </c>
      <c r="C2" s="4" t="s">
        <v>15</v>
      </c>
      <c r="D2" s="4">
        <v>500.0</v>
      </c>
      <c r="E2" s="4">
        <v>12.5</v>
      </c>
      <c r="F2" s="4" t="s">
        <v>16</v>
      </c>
      <c r="G2" s="5">
        <v>45301.0</v>
      </c>
      <c r="H2" s="5">
        <v>45301.0</v>
      </c>
      <c r="I2" s="4" t="s">
        <v>17</v>
      </c>
      <c r="J2" s="6">
        <f t="shared" ref="J2:J21" si="1">D2*E2</f>
        <v>6250</v>
      </c>
      <c r="K2" s="6">
        <f t="shared" ref="K2:K21" si="2">H2-B2</f>
        <v>5</v>
      </c>
      <c r="L2" s="6">
        <f t="shared" ref="L2:L21" si="3">H2-G2</f>
        <v>0</v>
      </c>
      <c r="M2" s="6" t="str">
        <f t="shared" ref="M2:M21" si="4">IF(L2&lt;=0,"Yes","No")</f>
        <v>Yes</v>
      </c>
      <c r="N2" s="6" t="str">
        <f t="shared" ref="N2:N21" si="5">IF(L2&lt;0,"Early",IF(L2=0,"On-Time","Late"))</f>
        <v>On-Time</v>
      </c>
      <c r="O2" s="6" t="str">
        <f t="shared" ref="O2:O21" si="6">TEXT(B2,"mmmm")</f>
        <v>January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>
        <v>1002.0</v>
      </c>
      <c r="B3" s="5">
        <v>45297.0</v>
      </c>
      <c r="C3" s="4" t="s">
        <v>18</v>
      </c>
      <c r="D3" s="4">
        <v>300.0</v>
      </c>
      <c r="E3" s="4">
        <v>8.75</v>
      </c>
      <c r="F3" s="4" t="s">
        <v>19</v>
      </c>
      <c r="G3" s="5">
        <v>45303.0</v>
      </c>
      <c r="H3" s="5">
        <v>45305.0</v>
      </c>
      <c r="I3" s="4" t="s">
        <v>20</v>
      </c>
      <c r="J3" s="6">
        <f t="shared" si="1"/>
        <v>2625</v>
      </c>
      <c r="K3" s="6">
        <f t="shared" si="2"/>
        <v>8</v>
      </c>
      <c r="L3" s="6">
        <f t="shared" si="3"/>
        <v>2</v>
      </c>
      <c r="M3" s="6" t="str">
        <f t="shared" si="4"/>
        <v>No</v>
      </c>
      <c r="N3" s="6" t="str">
        <f t="shared" si="5"/>
        <v>Late</v>
      </c>
      <c r="O3" s="6" t="str">
        <f t="shared" si="6"/>
        <v>January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>
        <v>1003.0</v>
      </c>
      <c r="B4" s="5">
        <v>45298.0</v>
      </c>
      <c r="C4" s="4" t="s">
        <v>21</v>
      </c>
      <c r="D4" s="4">
        <v>750.0</v>
      </c>
      <c r="E4" s="4">
        <v>22.0</v>
      </c>
      <c r="F4" s="4" t="s">
        <v>16</v>
      </c>
      <c r="G4" s="5">
        <v>45305.0</v>
      </c>
      <c r="H4" s="5">
        <v>45304.0</v>
      </c>
      <c r="I4" s="4" t="s">
        <v>22</v>
      </c>
      <c r="J4" s="6">
        <f t="shared" si="1"/>
        <v>16500</v>
      </c>
      <c r="K4" s="6">
        <f t="shared" si="2"/>
        <v>6</v>
      </c>
      <c r="L4" s="6">
        <f t="shared" si="3"/>
        <v>-1</v>
      </c>
      <c r="M4" s="6" t="str">
        <f t="shared" si="4"/>
        <v>Yes</v>
      </c>
      <c r="N4" s="6" t="str">
        <f t="shared" si="5"/>
        <v>Early</v>
      </c>
      <c r="O4" s="6" t="str">
        <f t="shared" si="6"/>
        <v>January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>
        <v>1004.0</v>
      </c>
      <c r="B5" s="5">
        <v>45299.0</v>
      </c>
      <c r="C5" s="4" t="s">
        <v>15</v>
      </c>
      <c r="D5" s="4">
        <v>200.0</v>
      </c>
      <c r="E5" s="4">
        <v>12.5</v>
      </c>
      <c r="F5" s="4" t="s">
        <v>23</v>
      </c>
      <c r="G5" s="5">
        <v>45304.0</v>
      </c>
      <c r="H5" s="5">
        <v>45306.0</v>
      </c>
      <c r="I5" s="4" t="s">
        <v>17</v>
      </c>
      <c r="J5" s="6">
        <f t="shared" si="1"/>
        <v>2500</v>
      </c>
      <c r="K5" s="6">
        <f t="shared" si="2"/>
        <v>7</v>
      </c>
      <c r="L5" s="6">
        <f t="shared" si="3"/>
        <v>2</v>
      </c>
      <c r="M5" s="6" t="str">
        <f t="shared" si="4"/>
        <v>No</v>
      </c>
      <c r="N5" s="6" t="str">
        <f t="shared" si="5"/>
        <v>Late</v>
      </c>
      <c r="O5" s="6" t="str">
        <f t="shared" si="6"/>
        <v>January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>
        <v>1005.0</v>
      </c>
      <c r="B6" s="5">
        <v>45301.0</v>
      </c>
      <c r="C6" s="4" t="s">
        <v>24</v>
      </c>
      <c r="D6" s="4">
        <v>100.0</v>
      </c>
      <c r="E6" s="4">
        <v>45.0</v>
      </c>
      <c r="F6" s="4" t="s">
        <v>19</v>
      </c>
      <c r="G6" s="5">
        <v>45306.0</v>
      </c>
      <c r="H6" s="5">
        <v>45306.0</v>
      </c>
      <c r="I6" s="4" t="s">
        <v>25</v>
      </c>
      <c r="J6" s="6">
        <f t="shared" si="1"/>
        <v>4500</v>
      </c>
      <c r="K6" s="6">
        <f t="shared" si="2"/>
        <v>5</v>
      </c>
      <c r="L6" s="6">
        <f t="shared" si="3"/>
        <v>0</v>
      </c>
      <c r="M6" s="6" t="str">
        <f t="shared" si="4"/>
        <v>Yes</v>
      </c>
      <c r="N6" s="6" t="str">
        <f t="shared" si="5"/>
        <v>On-Time</v>
      </c>
      <c r="O6" s="6" t="str">
        <f t="shared" si="6"/>
        <v>January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>
        <v>1006.0</v>
      </c>
      <c r="B7" s="5">
        <v>45303.0</v>
      </c>
      <c r="C7" s="4" t="s">
        <v>18</v>
      </c>
      <c r="D7" s="4">
        <v>450.0</v>
      </c>
      <c r="E7" s="4">
        <v>8.75</v>
      </c>
      <c r="F7" s="4" t="s">
        <v>16</v>
      </c>
      <c r="G7" s="5">
        <v>45309.0</v>
      </c>
      <c r="H7" s="5">
        <v>45311.0</v>
      </c>
      <c r="I7" s="4" t="s">
        <v>20</v>
      </c>
      <c r="J7" s="6">
        <f t="shared" si="1"/>
        <v>3937.5</v>
      </c>
      <c r="K7" s="6">
        <f t="shared" si="2"/>
        <v>8</v>
      </c>
      <c r="L7" s="6">
        <f t="shared" si="3"/>
        <v>2</v>
      </c>
      <c r="M7" s="6" t="str">
        <f t="shared" si="4"/>
        <v>No</v>
      </c>
      <c r="N7" s="6" t="str">
        <f t="shared" si="5"/>
        <v>Late</v>
      </c>
      <c r="O7" s="6" t="str">
        <f t="shared" si="6"/>
        <v>January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>
        <v>1007.0</v>
      </c>
      <c r="B8" s="5">
        <v>45305.0</v>
      </c>
      <c r="C8" s="4" t="s">
        <v>26</v>
      </c>
      <c r="D8" s="4">
        <v>600.0</v>
      </c>
      <c r="E8" s="4">
        <v>15.25</v>
      </c>
      <c r="F8" s="4" t="s">
        <v>23</v>
      </c>
      <c r="G8" s="5">
        <v>45311.0</v>
      </c>
      <c r="H8" s="5">
        <v>45310.0</v>
      </c>
      <c r="I8" s="4" t="s">
        <v>22</v>
      </c>
      <c r="J8" s="6">
        <f t="shared" si="1"/>
        <v>9150</v>
      </c>
      <c r="K8" s="6">
        <f t="shared" si="2"/>
        <v>5</v>
      </c>
      <c r="L8" s="6">
        <f t="shared" si="3"/>
        <v>-1</v>
      </c>
      <c r="M8" s="6" t="str">
        <f t="shared" si="4"/>
        <v>Yes</v>
      </c>
      <c r="N8" s="6" t="str">
        <f t="shared" si="5"/>
        <v>Early</v>
      </c>
      <c r="O8" s="6" t="str">
        <f t="shared" si="6"/>
        <v>January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>
        <v>1008.0</v>
      </c>
      <c r="B9" s="5">
        <v>45306.0</v>
      </c>
      <c r="C9" s="4" t="s">
        <v>21</v>
      </c>
      <c r="D9" s="4">
        <v>400.0</v>
      </c>
      <c r="E9" s="4">
        <v>22.0</v>
      </c>
      <c r="F9" s="4" t="s">
        <v>19</v>
      </c>
      <c r="G9" s="5">
        <v>45313.0</v>
      </c>
      <c r="H9" s="5">
        <v>45316.0</v>
      </c>
      <c r="I9" s="4" t="s">
        <v>17</v>
      </c>
      <c r="J9" s="6">
        <f t="shared" si="1"/>
        <v>8800</v>
      </c>
      <c r="K9" s="6">
        <f t="shared" si="2"/>
        <v>10</v>
      </c>
      <c r="L9" s="6">
        <f t="shared" si="3"/>
        <v>3</v>
      </c>
      <c r="M9" s="6" t="str">
        <f t="shared" si="4"/>
        <v>No</v>
      </c>
      <c r="N9" s="6" t="str">
        <f t="shared" si="5"/>
        <v>Late</v>
      </c>
      <c r="O9" s="6" t="str">
        <f t="shared" si="6"/>
        <v>January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>
        <v>1009.0</v>
      </c>
      <c r="B10" s="5">
        <v>45309.0</v>
      </c>
      <c r="C10" s="4" t="s">
        <v>15</v>
      </c>
      <c r="D10" s="4">
        <v>350.0</v>
      </c>
      <c r="E10" s="4">
        <v>12.5</v>
      </c>
      <c r="F10" s="4" t="s">
        <v>16</v>
      </c>
      <c r="G10" s="5">
        <v>45315.0</v>
      </c>
      <c r="H10" s="5">
        <v>45315.0</v>
      </c>
      <c r="I10" s="4" t="s">
        <v>25</v>
      </c>
      <c r="J10" s="6">
        <f t="shared" si="1"/>
        <v>4375</v>
      </c>
      <c r="K10" s="6">
        <f t="shared" si="2"/>
        <v>6</v>
      </c>
      <c r="L10" s="6">
        <f t="shared" si="3"/>
        <v>0</v>
      </c>
      <c r="M10" s="6" t="str">
        <f t="shared" si="4"/>
        <v>Yes</v>
      </c>
      <c r="N10" s="6" t="str">
        <f t="shared" si="5"/>
        <v>On-Time</v>
      </c>
      <c r="O10" s="6" t="str">
        <f t="shared" si="6"/>
        <v>January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>
        <v>1010.0</v>
      </c>
      <c r="B11" s="5">
        <v>45311.0</v>
      </c>
      <c r="C11" s="4" t="s">
        <v>24</v>
      </c>
      <c r="D11" s="4">
        <v>250.0</v>
      </c>
      <c r="E11" s="4">
        <v>45.0</v>
      </c>
      <c r="F11" s="4" t="s">
        <v>23</v>
      </c>
      <c r="G11" s="5">
        <v>45317.0</v>
      </c>
      <c r="H11" s="5">
        <v>45319.0</v>
      </c>
      <c r="I11" s="4" t="s">
        <v>20</v>
      </c>
      <c r="J11" s="6">
        <f t="shared" si="1"/>
        <v>11250</v>
      </c>
      <c r="K11" s="6">
        <f t="shared" si="2"/>
        <v>8</v>
      </c>
      <c r="L11" s="6">
        <f t="shared" si="3"/>
        <v>2</v>
      </c>
      <c r="M11" s="6" t="str">
        <f t="shared" si="4"/>
        <v>No</v>
      </c>
      <c r="N11" s="6" t="str">
        <f t="shared" si="5"/>
        <v>Late</v>
      </c>
      <c r="O11" s="6" t="str">
        <f t="shared" si="6"/>
        <v>January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>
        <v>1011.0</v>
      </c>
      <c r="B12" s="5">
        <v>45313.0</v>
      </c>
      <c r="C12" s="4" t="s">
        <v>26</v>
      </c>
      <c r="D12" s="4">
        <v>800.0</v>
      </c>
      <c r="E12" s="4">
        <v>15.25</v>
      </c>
      <c r="F12" s="4" t="s">
        <v>16</v>
      </c>
      <c r="G12" s="5">
        <v>45319.0</v>
      </c>
      <c r="H12" s="5">
        <v>45318.0</v>
      </c>
      <c r="I12" s="4" t="s">
        <v>17</v>
      </c>
      <c r="J12" s="6">
        <f t="shared" si="1"/>
        <v>12200</v>
      </c>
      <c r="K12" s="6">
        <f t="shared" si="2"/>
        <v>5</v>
      </c>
      <c r="L12" s="6">
        <f t="shared" si="3"/>
        <v>-1</v>
      </c>
      <c r="M12" s="6" t="str">
        <f t="shared" si="4"/>
        <v>Yes</v>
      </c>
      <c r="N12" s="6" t="str">
        <f t="shared" si="5"/>
        <v>Early</v>
      </c>
      <c r="O12" s="6" t="str">
        <f t="shared" si="6"/>
        <v>January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>
        <v>1012.0</v>
      </c>
      <c r="B13" s="5">
        <v>45316.0</v>
      </c>
      <c r="C13" s="4" t="s">
        <v>18</v>
      </c>
      <c r="D13" s="4">
        <v>550.0</v>
      </c>
      <c r="E13" s="4">
        <v>8.75</v>
      </c>
      <c r="F13" s="4" t="s">
        <v>19</v>
      </c>
      <c r="G13" s="5">
        <v>45322.0</v>
      </c>
      <c r="H13" s="5">
        <v>45324.0</v>
      </c>
      <c r="I13" s="4" t="s">
        <v>22</v>
      </c>
      <c r="J13" s="6">
        <f t="shared" si="1"/>
        <v>4812.5</v>
      </c>
      <c r="K13" s="6">
        <f t="shared" si="2"/>
        <v>8</v>
      </c>
      <c r="L13" s="6">
        <f t="shared" si="3"/>
        <v>2</v>
      </c>
      <c r="M13" s="6" t="str">
        <f t="shared" si="4"/>
        <v>No</v>
      </c>
      <c r="N13" s="6" t="str">
        <f t="shared" si="5"/>
        <v>Late</v>
      </c>
      <c r="O13" s="6" t="str">
        <f t="shared" si="6"/>
        <v>January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>
        <v>1013.0</v>
      </c>
      <c r="B14" s="5">
        <v>45319.0</v>
      </c>
      <c r="C14" s="4" t="s">
        <v>21</v>
      </c>
      <c r="D14" s="4">
        <v>300.0</v>
      </c>
      <c r="E14" s="4">
        <v>22.0</v>
      </c>
      <c r="F14" s="4" t="s">
        <v>23</v>
      </c>
      <c r="G14" s="5">
        <v>45325.0</v>
      </c>
      <c r="H14" s="5">
        <v>45325.0</v>
      </c>
      <c r="I14" s="4" t="s">
        <v>25</v>
      </c>
      <c r="J14" s="6">
        <f t="shared" si="1"/>
        <v>6600</v>
      </c>
      <c r="K14" s="6">
        <f t="shared" si="2"/>
        <v>6</v>
      </c>
      <c r="L14" s="6">
        <f t="shared" si="3"/>
        <v>0</v>
      </c>
      <c r="M14" s="6" t="str">
        <f t="shared" si="4"/>
        <v>Yes</v>
      </c>
      <c r="N14" s="6" t="str">
        <f t="shared" si="5"/>
        <v>On-Time</v>
      </c>
      <c r="O14" s="6" t="str">
        <f t="shared" si="6"/>
        <v>January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>
        <v>1014.0</v>
      </c>
      <c r="B15" s="5">
        <v>45323.0</v>
      </c>
      <c r="C15" s="4" t="s">
        <v>15</v>
      </c>
      <c r="D15" s="4">
        <v>450.0</v>
      </c>
      <c r="E15" s="4">
        <v>12.5</v>
      </c>
      <c r="F15" s="4" t="s">
        <v>16</v>
      </c>
      <c r="G15" s="5">
        <v>45329.0</v>
      </c>
      <c r="H15" s="5">
        <v>45328.0</v>
      </c>
      <c r="I15" s="4" t="s">
        <v>20</v>
      </c>
      <c r="J15" s="6">
        <f t="shared" si="1"/>
        <v>5625</v>
      </c>
      <c r="K15" s="6">
        <f t="shared" si="2"/>
        <v>5</v>
      </c>
      <c r="L15" s="6">
        <f t="shared" si="3"/>
        <v>-1</v>
      </c>
      <c r="M15" s="6" t="str">
        <f t="shared" si="4"/>
        <v>Yes</v>
      </c>
      <c r="N15" s="6" t="str">
        <f t="shared" si="5"/>
        <v>Early</v>
      </c>
      <c r="O15" s="6" t="str">
        <f t="shared" si="6"/>
        <v>February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>
        <v>1015.0</v>
      </c>
      <c r="B16" s="5">
        <v>45325.0</v>
      </c>
      <c r="C16" s="4" t="s">
        <v>24</v>
      </c>
      <c r="D16" s="4">
        <v>150.0</v>
      </c>
      <c r="E16" s="4">
        <v>45.0</v>
      </c>
      <c r="F16" s="4" t="s">
        <v>19</v>
      </c>
      <c r="G16" s="5">
        <v>45331.0</v>
      </c>
      <c r="H16" s="5">
        <v>45333.0</v>
      </c>
      <c r="I16" s="4" t="s">
        <v>17</v>
      </c>
      <c r="J16" s="6">
        <f t="shared" si="1"/>
        <v>6750</v>
      </c>
      <c r="K16" s="6">
        <f t="shared" si="2"/>
        <v>8</v>
      </c>
      <c r="L16" s="6">
        <f t="shared" si="3"/>
        <v>2</v>
      </c>
      <c r="M16" s="6" t="str">
        <f t="shared" si="4"/>
        <v>No</v>
      </c>
      <c r="N16" s="6" t="str">
        <f t="shared" si="5"/>
        <v>Late</v>
      </c>
      <c r="O16" s="6" t="str">
        <f t="shared" si="6"/>
        <v>February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>
        <v>1016.0</v>
      </c>
      <c r="B17" s="5">
        <v>45327.0</v>
      </c>
      <c r="C17" s="4" t="s">
        <v>26</v>
      </c>
      <c r="D17" s="4">
        <v>700.0</v>
      </c>
      <c r="E17" s="4">
        <v>15.25</v>
      </c>
      <c r="F17" s="4" t="s">
        <v>16</v>
      </c>
      <c r="G17" s="5">
        <v>45333.0</v>
      </c>
      <c r="H17" s="5">
        <v>45333.0</v>
      </c>
      <c r="I17" s="4" t="s">
        <v>22</v>
      </c>
      <c r="J17" s="6">
        <f t="shared" si="1"/>
        <v>10675</v>
      </c>
      <c r="K17" s="6">
        <f t="shared" si="2"/>
        <v>6</v>
      </c>
      <c r="L17" s="6">
        <f t="shared" si="3"/>
        <v>0</v>
      </c>
      <c r="M17" s="6" t="str">
        <f t="shared" si="4"/>
        <v>Yes</v>
      </c>
      <c r="N17" s="6" t="str">
        <f t="shared" si="5"/>
        <v>On-Time</v>
      </c>
      <c r="O17" s="6" t="str">
        <f t="shared" si="6"/>
        <v>February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>
        <v>1017.0</v>
      </c>
      <c r="B18" s="5">
        <v>45330.0</v>
      </c>
      <c r="C18" s="4" t="s">
        <v>18</v>
      </c>
      <c r="D18" s="4">
        <v>400.0</v>
      </c>
      <c r="E18" s="4">
        <v>8.75</v>
      </c>
      <c r="F18" s="4" t="s">
        <v>23</v>
      </c>
      <c r="G18" s="5">
        <v>45336.0</v>
      </c>
      <c r="H18" s="5">
        <v>45338.0</v>
      </c>
      <c r="I18" s="4" t="s">
        <v>25</v>
      </c>
      <c r="J18" s="6">
        <f t="shared" si="1"/>
        <v>3500</v>
      </c>
      <c r="K18" s="6">
        <f t="shared" si="2"/>
        <v>8</v>
      </c>
      <c r="L18" s="6">
        <f t="shared" si="3"/>
        <v>2</v>
      </c>
      <c r="M18" s="6" t="str">
        <f t="shared" si="4"/>
        <v>No</v>
      </c>
      <c r="N18" s="6" t="str">
        <f t="shared" si="5"/>
        <v>Late</v>
      </c>
      <c r="O18" s="6" t="str">
        <f t="shared" si="6"/>
        <v>February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>
        <v>1018.0</v>
      </c>
      <c r="B19" s="5">
        <v>45332.0</v>
      </c>
      <c r="C19" s="4" t="s">
        <v>21</v>
      </c>
      <c r="D19" s="4">
        <v>500.0</v>
      </c>
      <c r="E19" s="4">
        <v>22.0</v>
      </c>
      <c r="F19" s="4" t="s">
        <v>19</v>
      </c>
      <c r="G19" s="5">
        <v>45338.0</v>
      </c>
      <c r="H19" s="5">
        <v>45337.0</v>
      </c>
      <c r="I19" s="4" t="s">
        <v>20</v>
      </c>
      <c r="J19" s="6">
        <f t="shared" si="1"/>
        <v>11000</v>
      </c>
      <c r="K19" s="6">
        <f t="shared" si="2"/>
        <v>5</v>
      </c>
      <c r="L19" s="6">
        <f t="shared" si="3"/>
        <v>-1</v>
      </c>
      <c r="M19" s="6" t="str">
        <f t="shared" si="4"/>
        <v>Yes</v>
      </c>
      <c r="N19" s="6" t="str">
        <f t="shared" si="5"/>
        <v>Early</v>
      </c>
      <c r="O19" s="6" t="str">
        <f t="shared" si="6"/>
        <v>February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>
        <v>1019.0</v>
      </c>
      <c r="B20" s="5">
        <v>45334.0</v>
      </c>
      <c r="C20" s="4" t="s">
        <v>15</v>
      </c>
      <c r="D20" s="4">
        <v>600.0</v>
      </c>
      <c r="E20" s="4">
        <v>12.5</v>
      </c>
      <c r="F20" s="4" t="s">
        <v>16</v>
      </c>
      <c r="G20" s="5">
        <v>45340.0</v>
      </c>
      <c r="H20" s="5">
        <v>45340.0</v>
      </c>
      <c r="I20" s="4" t="s">
        <v>17</v>
      </c>
      <c r="J20" s="6">
        <f t="shared" si="1"/>
        <v>7500</v>
      </c>
      <c r="K20" s="6">
        <f t="shared" si="2"/>
        <v>6</v>
      </c>
      <c r="L20" s="6">
        <f t="shared" si="3"/>
        <v>0</v>
      </c>
      <c r="M20" s="6" t="str">
        <f t="shared" si="4"/>
        <v>Yes</v>
      </c>
      <c r="N20" s="6" t="str">
        <f t="shared" si="5"/>
        <v>On-Time</v>
      </c>
      <c r="O20" s="6" t="str">
        <f t="shared" si="6"/>
        <v>February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>
        <v>1020.0</v>
      </c>
      <c r="B21" s="5">
        <v>45337.0</v>
      </c>
      <c r="C21" s="4" t="s">
        <v>24</v>
      </c>
      <c r="D21" s="4">
        <v>200.0</v>
      </c>
      <c r="E21" s="4">
        <v>45.0</v>
      </c>
      <c r="F21" s="4" t="s">
        <v>23</v>
      </c>
      <c r="G21" s="5">
        <v>45343.0</v>
      </c>
      <c r="H21" s="5">
        <v>45345.0</v>
      </c>
      <c r="I21" s="4" t="s">
        <v>22</v>
      </c>
      <c r="J21" s="6">
        <f t="shared" si="1"/>
        <v>9000</v>
      </c>
      <c r="K21" s="6">
        <f t="shared" si="2"/>
        <v>8</v>
      </c>
      <c r="L21" s="6">
        <f t="shared" si="3"/>
        <v>2</v>
      </c>
      <c r="M21" s="6" t="str">
        <f t="shared" si="4"/>
        <v>No</v>
      </c>
      <c r="N21" s="6" t="str">
        <f t="shared" si="5"/>
        <v>Late</v>
      </c>
      <c r="O21" s="6" t="str">
        <f t="shared" si="6"/>
        <v>February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7" max="26" width="12.63"/>
  </cols>
  <sheetData>
    <row r="1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15</v>
      </c>
      <c r="B2" s="4" t="s">
        <v>32</v>
      </c>
      <c r="C2" s="4" t="s">
        <v>33</v>
      </c>
      <c r="D2" s="4">
        <v>25.0</v>
      </c>
      <c r="E2" s="4">
        <v>200.0</v>
      </c>
      <c r="F2" s="4">
        <v>400.0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18</v>
      </c>
      <c r="B3" s="4" t="s">
        <v>34</v>
      </c>
      <c r="C3" s="4" t="s">
        <v>35</v>
      </c>
      <c r="D3" s="4">
        <v>15.0</v>
      </c>
      <c r="E3" s="4">
        <v>150.0</v>
      </c>
      <c r="F3" s="4">
        <v>300.0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21</v>
      </c>
      <c r="B4" s="4" t="s">
        <v>36</v>
      </c>
      <c r="C4" s="4" t="s">
        <v>33</v>
      </c>
      <c r="D4" s="4">
        <v>45.0</v>
      </c>
      <c r="E4" s="4">
        <v>100.0</v>
      </c>
      <c r="F4" s="4">
        <v>250.0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24</v>
      </c>
      <c r="B5" s="4" t="s">
        <v>37</v>
      </c>
      <c r="C5" s="4" t="s">
        <v>38</v>
      </c>
      <c r="D5" s="4">
        <v>85.0</v>
      </c>
      <c r="E5" s="4">
        <v>50.0</v>
      </c>
      <c r="F5" s="4">
        <v>100.0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26</v>
      </c>
      <c r="B6" s="4" t="s">
        <v>39</v>
      </c>
      <c r="C6" s="4" t="s">
        <v>35</v>
      </c>
      <c r="D6" s="4">
        <v>30.0</v>
      </c>
      <c r="E6" s="4">
        <v>175.0</v>
      </c>
      <c r="F6" s="4">
        <v>350.0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idden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idden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idden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idden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idden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idden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idden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idden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idden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idden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idden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idden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idden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idden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idden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5.75"/>
    <col customWidth="1" min="3" max="3" width="10.0"/>
    <col customWidth="1" min="4" max="4" width="11.88"/>
    <col customWidth="1" min="5" max="5" width="13.38"/>
    <col customWidth="1" hidden="1" min="6" max="26" width="10.0"/>
  </cols>
  <sheetData>
    <row r="1">
      <c r="A1" s="1" t="s">
        <v>5</v>
      </c>
      <c r="B1" s="1" t="s">
        <v>40</v>
      </c>
      <c r="C1" s="1" t="s">
        <v>41</v>
      </c>
      <c r="D1" s="1" t="s">
        <v>42</v>
      </c>
      <c r="E1" s="1" t="s">
        <v>43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16</v>
      </c>
      <c r="B2" s="4" t="s">
        <v>44</v>
      </c>
      <c r="C2" s="4" t="s">
        <v>45</v>
      </c>
      <c r="D2" s="4">
        <v>50000.0</v>
      </c>
      <c r="E2" s="4" t="s">
        <v>46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19</v>
      </c>
      <c r="B3" s="4" t="s">
        <v>47</v>
      </c>
      <c r="C3" s="4" t="s">
        <v>48</v>
      </c>
      <c r="D3" s="4">
        <v>35000.0</v>
      </c>
      <c r="E3" s="4" t="s">
        <v>49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23</v>
      </c>
      <c r="B4" s="4" t="s">
        <v>50</v>
      </c>
      <c r="C4" s="4" t="s">
        <v>51</v>
      </c>
      <c r="D4" s="4">
        <v>42000.0</v>
      </c>
      <c r="E4" s="4" t="s">
        <v>46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idden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idden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idden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idden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idden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idden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idden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idden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idden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idden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idden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idden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idden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idden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idden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idden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idden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26" width="12.63"/>
  </cols>
  <sheetData>
    <row r="1">
      <c r="A1" s="8" t="s">
        <v>2</v>
      </c>
      <c r="B1" s="8" t="s">
        <v>8</v>
      </c>
      <c r="C1" s="8" t="s">
        <v>52</v>
      </c>
      <c r="D1" s="8" t="s">
        <v>53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15</v>
      </c>
      <c r="B2" s="8" t="s">
        <v>17</v>
      </c>
      <c r="C2" s="8">
        <v>580.0</v>
      </c>
      <c r="D2" s="9">
        <v>45337.0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15</v>
      </c>
      <c r="B3" s="8" t="s">
        <v>20</v>
      </c>
      <c r="C3" s="8">
        <v>320.0</v>
      </c>
      <c r="D3" s="9">
        <v>45337.0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15</v>
      </c>
      <c r="B4" s="8" t="s">
        <v>22</v>
      </c>
      <c r="C4" s="8">
        <v>150.0</v>
      </c>
      <c r="D4" s="9">
        <v>45337.0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15</v>
      </c>
      <c r="B5" s="8" t="s">
        <v>25</v>
      </c>
      <c r="C5" s="8">
        <v>400.0</v>
      </c>
      <c r="D5" s="9">
        <v>45337.0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18</v>
      </c>
      <c r="B6" s="8" t="s">
        <v>17</v>
      </c>
      <c r="C6" s="8">
        <v>200.0</v>
      </c>
      <c r="D6" s="9">
        <v>45337.0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18</v>
      </c>
      <c r="B7" s="8" t="s">
        <v>20</v>
      </c>
      <c r="C7" s="8">
        <v>450.0</v>
      </c>
      <c r="D7" s="9">
        <v>45337.0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18</v>
      </c>
      <c r="B8" s="8" t="s">
        <v>22</v>
      </c>
      <c r="C8" s="8">
        <v>180.0</v>
      </c>
      <c r="D8" s="9">
        <v>45337.0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18</v>
      </c>
      <c r="B9" s="8" t="s">
        <v>25</v>
      </c>
      <c r="C9" s="8">
        <v>90.0</v>
      </c>
      <c r="D9" s="9">
        <v>45337.0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21</v>
      </c>
      <c r="B10" s="8" t="s">
        <v>17</v>
      </c>
      <c r="C10" s="8">
        <v>300.0</v>
      </c>
      <c r="D10" s="9">
        <v>45337.0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21</v>
      </c>
      <c r="B11" s="8" t="s">
        <v>20</v>
      </c>
      <c r="C11" s="8">
        <v>250.0</v>
      </c>
      <c r="D11" s="9">
        <v>45337.0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21</v>
      </c>
      <c r="B12" s="8" t="s">
        <v>22</v>
      </c>
      <c r="C12" s="8">
        <v>175.0</v>
      </c>
      <c r="D12" s="9">
        <v>45337.0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21</v>
      </c>
      <c r="B13" s="8" t="s">
        <v>25</v>
      </c>
      <c r="C13" s="8">
        <v>220.0</v>
      </c>
      <c r="D13" s="9">
        <v>45337.0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24</v>
      </c>
      <c r="B14" s="8" t="s">
        <v>17</v>
      </c>
      <c r="C14" s="8">
        <v>45.0</v>
      </c>
      <c r="D14" s="9">
        <v>45337.0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24</v>
      </c>
      <c r="B15" s="8" t="s">
        <v>20</v>
      </c>
      <c r="C15" s="8">
        <v>80.0</v>
      </c>
      <c r="D15" s="9">
        <v>45337.0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24</v>
      </c>
      <c r="B16" s="8" t="s">
        <v>22</v>
      </c>
      <c r="C16" s="8">
        <v>60.0</v>
      </c>
      <c r="D16" s="9">
        <v>45337.0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24</v>
      </c>
      <c r="B17" s="8" t="s">
        <v>25</v>
      </c>
      <c r="C17" s="8">
        <v>35.0</v>
      </c>
      <c r="D17" s="9">
        <v>45337.0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26</v>
      </c>
      <c r="B18" s="8" t="s">
        <v>17</v>
      </c>
      <c r="C18" s="8">
        <v>400.0</v>
      </c>
      <c r="D18" s="9">
        <v>45337.0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26</v>
      </c>
      <c r="B19" s="8" t="s">
        <v>20</v>
      </c>
      <c r="C19" s="8">
        <v>350.0</v>
      </c>
      <c r="D19" s="9">
        <v>45337.0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26</v>
      </c>
      <c r="B20" s="8" t="s">
        <v>22</v>
      </c>
      <c r="C20" s="8">
        <v>280.0</v>
      </c>
      <c r="D20" s="9">
        <v>45337.0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 t="s">
        <v>26</v>
      </c>
      <c r="B21" s="8" t="s">
        <v>25</v>
      </c>
      <c r="C21" s="8">
        <v>190.0</v>
      </c>
      <c r="D21" s="9">
        <v>45337.0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26" width="12.63"/>
  </cols>
  <sheetData>
    <row r="1">
      <c r="A1" s="1" t="s">
        <v>14</v>
      </c>
      <c r="B1" s="1" t="s">
        <v>2</v>
      </c>
      <c r="C1" s="1" t="s">
        <v>54</v>
      </c>
      <c r="D1" s="1" t="s">
        <v>55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>
        <v>45200.0</v>
      </c>
      <c r="B2" s="4" t="s">
        <v>15</v>
      </c>
      <c r="C2" s="4">
        <v>1200.0</v>
      </c>
      <c r="D2" s="4">
        <v>30000.0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>
        <v>45200.0</v>
      </c>
      <c r="B3" s="4" t="s">
        <v>18</v>
      </c>
      <c r="C3" s="4">
        <v>800.0</v>
      </c>
      <c r="D3" s="4">
        <v>12000.0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>
        <v>45200.0</v>
      </c>
      <c r="B4" s="4" t="s">
        <v>21</v>
      </c>
      <c r="C4" s="4">
        <v>450.0</v>
      </c>
      <c r="D4" s="4">
        <v>20250.0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>
        <v>45200.0</v>
      </c>
      <c r="B5" s="4" t="s">
        <v>24</v>
      </c>
      <c r="C5" s="4">
        <v>120.0</v>
      </c>
      <c r="D5" s="4">
        <v>10200.0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>
        <v>45200.0</v>
      </c>
      <c r="B6" s="4" t="s">
        <v>26</v>
      </c>
      <c r="C6" s="4">
        <v>950.0</v>
      </c>
      <c r="D6" s="4">
        <v>28500.0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0">
        <v>45231.0</v>
      </c>
      <c r="B7" s="4" t="s">
        <v>15</v>
      </c>
      <c r="C7" s="4">
        <v>1350.0</v>
      </c>
      <c r="D7" s="4">
        <v>33750.0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>
        <v>45231.0</v>
      </c>
      <c r="B8" s="4" t="s">
        <v>18</v>
      </c>
      <c r="C8" s="4">
        <v>920.0</v>
      </c>
      <c r="D8" s="4">
        <v>13800.0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0">
        <v>45231.0</v>
      </c>
      <c r="B9" s="4" t="s">
        <v>21</v>
      </c>
      <c r="C9" s="4">
        <v>380.0</v>
      </c>
      <c r="D9" s="4">
        <v>17100.0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>
        <v>45231.0</v>
      </c>
      <c r="B10" s="4" t="s">
        <v>24</v>
      </c>
      <c r="C10" s="4">
        <v>150.0</v>
      </c>
      <c r="D10" s="4">
        <v>12750.0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0">
        <v>45231.0</v>
      </c>
      <c r="B11" s="4" t="s">
        <v>26</v>
      </c>
      <c r="C11" s="4">
        <v>1100.0</v>
      </c>
      <c r="D11" s="4">
        <v>33000.0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0">
        <v>45261.0</v>
      </c>
      <c r="B12" s="4" t="s">
        <v>15</v>
      </c>
      <c r="C12" s="4">
        <v>1800.0</v>
      </c>
      <c r="D12" s="4">
        <v>45000.0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>
        <v>45261.0</v>
      </c>
      <c r="B13" s="4" t="s">
        <v>18</v>
      </c>
      <c r="C13" s="4">
        <v>1400.0</v>
      </c>
      <c r="D13" s="4">
        <v>21000.0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>
        <v>45261.0</v>
      </c>
      <c r="B14" s="4" t="s">
        <v>21</v>
      </c>
      <c r="C14" s="4">
        <v>600.0</v>
      </c>
      <c r="D14" s="4">
        <v>27000.0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0">
        <v>45261.0</v>
      </c>
      <c r="B15" s="4" t="s">
        <v>24</v>
      </c>
      <c r="C15" s="4">
        <v>200.0</v>
      </c>
      <c r="D15" s="4">
        <v>17000.0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0">
        <v>45261.0</v>
      </c>
      <c r="B16" s="4" t="s">
        <v>26</v>
      </c>
      <c r="C16" s="4">
        <v>1500.0</v>
      </c>
      <c r="D16" s="4">
        <v>45000.0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>
        <v>45292.0</v>
      </c>
      <c r="B17" s="4" t="s">
        <v>15</v>
      </c>
      <c r="C17" s="4">
        <v>1500.0</v>
      </c>
      <c r="D17" s="4">
        <v>37500.0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>
        <v>45292.0</v>
      </c>
      <c r="B18" s="4" t="s">
        <v>18</v>
      </c>
      <c r="C18" s="4">
        <v>1100.0</v>
      </c>
      <c r="D18" s="4">
        <v>16500.0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>
        <v>45292.0</v>
      </c>
      <c r="B19" s="4" t="s">
        <v>21</v>
      </c>
      <c r="C19" s="4">
        <v>520.0</v>
      </c>
      <c r="D19" s="4">
        <v>23400.0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>
        <v>45292.0</v>
      </c>
      <c r="B20" s="4" t="s">
        <v>24</v>
      </c>
      <c r="C20" s="4">
        <v>180.0</v>
      </c>
      <c r="D20" s="4">
        <v>15300.0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>
        <v>45292.0</v>
      </c>
      <c r="B21" s="4" t="s">
        <v>26</v>
      </c>
      <c r="C21" s="4">
        <v>1250.0</v>
      </c>
      <c r="D21" s="4">
        <v>37500.0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1">
        <v>45323.0</v>
      </c>
      <c r="B22" s="4" t="s">
        <v>15</v>
      </c>
      <c r="C22" s="4">
        <v>1400.0</v>
      </c>
      <c r="D22" s="4">
        <v>35000.0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>
        <v>45323.0</v>
      </c>
      <c r="B23" s="4" t="s">
        <v>18</v>
      </c>
      <c r="C23" s="4">
        <v>950.0</v>
      </c>
      <c r="D23" s="4">
        <v>14250.0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1">
        <v>45323.0</v>
      </c>
      <c r="B24" s="4" t="s">
        <v>21</v>
      </c>
      <c r="C24" s="4">
        <v>480.0</v>
      </c>
      <c r="D24" s="4">
        <v>21600.0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>
        <v>45323.0</v>
      </c>
      <c r="B25" s="4" t="s">
        <v>24</v>
      </c>
      <c r="C25" s="4">
        <v>160.0</v>
      </c>
      <c r="D25" s="4">
        <v>13600.0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>
        <v>45323.0</v>
      </c>
      <c r="B26" s="4" t="s">
        <v>26</v>
      </c>
      <c r="C26" s="4">
        <v>1150.0</v>
      </c>
      <c r="D26" s="4">
        <v>34500.0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38"/>
    <col customWidth="1" min="2" max="2" width="14.75"/>
    <col customWidth="1" min="3" max="3" width="12.25"/>
    <col customWidth="1" min="4" max="4" width="13.38"/>
    <col customWidth="1" min="5" max="5" width="15.0"/>
    <col customWidth="1" min="6" max="6" width="12.75"/>
    <col customWidth="1" min="7" max="7" width="11.25"/>
    <col customWidth="1" min="8" max="8" width="14.0"/>
    <col customWidth="1" min="9" max="9" width="17.13"/>
    <col customWidth="1" min="10" max="10" width="15.38"/>
    <col customWidth="1" min="11" max="11" width="20.5"/>
    <col customWidth="1" min="12" max="12" width="19.38"/>
    <col customWidth="1" min="13" max="13" width="14.63"/>
    <col customWidth="1" hidden="1" min="14" max="14" width="13.25"/>
    <col customWidth="1" hidden="1" min="15" max="39" width="11.25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>
      <c r="A2" s="1" t="s">
        <v>16</v>
      </c>
      <c r="B2" s="6">
        <f>COUNTIF(Orders!F:F,A2)</f>
        <v>8</v>
      </c>
      <c r="C2" s="6">
        <f>COUNTIFS(Orders!F:F,A2,Orders!M:M,"Yes")</f>
        <v>7</v>
      </c>
      <c r="D2" s="13">
        <f t="shared" ref="D2:D4" si="1">B2/C2</f>
        <v>1.142857143</v>
      </c>
      <c r="E2" s="6">
        <f>AVERAGEIF(Orders!F:F,A2,Orders!K:K)</f>
        <v>5.875</v>
      </c>
      <c r="F2" s="6">
        <f>SUMIF(Orders!F:F,A2,Orders!J:J)</f>
        <v>67062.5</v>
      </c>
      <c r="G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>
      <c r="A3" s="1" t="s">
        <v>19</v>
      </c>
      <c r="B3" s="6">
        <f>COUNTIF(Orders!F:F,A3)</f>
        <v>6</v>
      </c>
      <c r="C3" s="6">
        <f>COUNTIFS(Orders!F:F,A3,Orders!M:M,"Yes")</f>
        <v>2</v>
      </c>
      <c r="D3" s="6">
        <f t="shared" si="1"/>
        <v>3</v>
      </c>
      <c r="E3" s="13">
        <f>AVERAGEIF(Orders!F:F,A3,Orders!K:K)</f>
        <v>7.333333333</v>
      </c>
      <c r="F3" s="6">
        <f>SUMIF(Orders!F:F,A3,Orders!J:J)</f>
        <v>38487.5</v>
      </c>
      <c r="G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>
      <c r="A4" s="1" t="s">
        <v>23</v>
      </c>
      <c r="B4" s="6">
        <f>COUNTIF(Orders!F:F,A4)</f>
        <v>6</v>
      </c>
      <c r="C4" s="6">
        <f>COUNTIFS(Orders!F:F,A4,Orders!M:M,"Yes")</f>
        <v>2</v>
      </c>
      <c r="D4" s="6">
        <f t="shared" si="1"/>
        <v>3</v>
      </c>
      <c r="E4" s="6">
        <f>AVERAGEIF(Orders!F:F,A4,Orders!K:K)</f>
        <v>7</v>
      </c>
      <c r="F4" s="6">
        <f>SUMIF(Orders!F:F,A4,Orders!J:J)</f>
        <v>42000</v>
      </c>
      <c r="G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>
      <c r="A5" s="7"/>
      <c r="B5" s="7"/>
      <c r="C5" s="7"/>
      <c r="D5" s="7"/>
      <c r="E5" s="7"/>
      <c r="F5" s="7"/>
      <c r="G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>
      <c r="A7" s="15" t="s">
        <v>2</v>
      </c>
      <c r="B7" s="15" t="s">
        <v>67</v>
      </c>
      <c r="C7" s="15" t="s">
        <v>9</v>
      </c>
      <c r="D7" s="15" t="s">
        <v>68</v>
      </c>
      <c r="E7" s="15" t="s">
        <v>69</v>
      </c>
      <c r="F7" s="7"/>
      <c r="G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>
      <c r="A8" s="1" t="s">
        <v>15</v>
      </c>
      <c r="B8" s="6">
        <f>SUMIF(Orders!C:C,A8,Orders!D:D)</f>
        <v>2100</v>
      </c>
      <c r="C8" s="6">
        <f>SUMIF(Orders!C:C,A8,Orders!J:J)</f>
        <v>26250</v>
      </c>
      <c r="D8" s="6">
        <f>AVERAGEIF(Orders!C:C,A8,Orders!D:D)</f>
        <v>420</v>
      </c>
      <c r="E8" s="6">
        <f>SUMIF(Inventory!A:A,A8,Inventory!C:C)</f>
        <v>1450</v>
      </c>
      <c r="F8" s="7"/>
      <c r="G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>
      <c r="A9" s="1" t="s">
        <v>18</v>
      </c>
      <c r="B9" s="6">
        <f>SUMIF(Orders!C:C,A9,Orders!D:D)</f>
        <v>1700</v>
      </c>
      <c r="C9" s="6">
        <f>SUMIF(Orders!C:C,A9,Orders!J:J)</f>
        <v>14875</v>
      </c>
      <c r="D9" s="6">
        <f>AVERAGEIF(Orders!C:C,A9,Orders!D:D)</f>
        <v>425</v>
      </c>
      <c r="E9" s="6">
        <f>SUMIF(Inventory!A:A,A9,Inventory!C:C)</f>
        <v>920</v>
      </c>
      <c r="F9" s="7"/>
      <c r="G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>
      <c r="A10" s="1" t="s">
        <v>21</v>
      </c>
      <c r="B10" s="6">
        <f>SUMIF(Orders!C:C,A10,Orders!D:D)</f>
        <v>1950</v>
      </c>
      <c r="C10" s="6">
        <f>SUMIF(Orders!C:C,A10,Orders!J:J)</f>
        <v>42900</v>
      </c>
      <c r="D10" s="6">
        <f>AVERAGEIF(Orders!C:C,A10,Orders!D:D)</f>
        <v>487.5</v>
      </c>
      <c r="E10" s="6">
        <f>SUMIF(Inventory!A:A,A10,Inventory!C:C)</f>
        <v>945</v>
      </c>
      <c r="F10" s="7"/>
      <c r="G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>
      <c r="A11" s="1" t="s">
        <v>24</v>
      </c>
      <c r="B11" s="6">
        <f>SUMIF(Orders!C:C,A11,Orders!D:D)</f>
        <v>700</v>
      </c>
      <c r="C11" s="6">
        <f>SUMIF(Orders!C:C,A11,Orders!J:J)</f>
        <v>31500</v>
      </c>
      <c r="D11" s="6">
        <f>AVERAGEIF(Orders!C:C,A11,Orders!D:D)</f>
        <v>175</v>
      </c>
      <c r="E11" s="6">
        <f>SUMIF(Inventory!A:A,A11,Inventory!C:C)</f>
        <v>220</v>
      </c>
      <c r="F11" s="7"/>
      <c r="G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>
      <c r="A12" s="1" t="s">
        <v>26</v>
      </c>
      <c r="B12" s="6">
        <f>SUMIF(Orders!C:C,A12,Orders!D:D)</f>
        <v>2100</v>
      </c>
      <c r="C12" s="6">
        <f>SUMIF(Orders!C:C,A12,Orders!J:J)</f>
        <v>32025</v>
      </c>
      <c r="D12" s="6">
        <f>AVERAGEIF(Orders!C:C,A12,Orders!D:D)</f>
        <v>700</v>
      </c>
      <c r="E12" s="6">
        <f>SUMIF(Inventory!A:A,A12,Inventory!C:C)</f>
        <v>1220</v>
      </c>
      <c r="F12" s="7"/>
      <c r="G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>
      <c r="A13" s="7"/>
      <c r="B13" s="7"/>
      <c r="C13" s="7"/>
      <c r="D13" s="7"/>
      <c r="E13" s="7"/>
      <c r="F13" s="7"/>
      <c r="G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>
      <c r="A14" s="7"/>
      <c r="B14" s="7"/>
      <c r="C14" s="7"/>
      <c r="D14" s="7"/>
      <c r="E14" s="7"/>
      <c r="F14" s="7"/>
      <c r="G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>
      <c r="A16" s="7"/>
      <c r="B16" s="7"/>
      <c r="C16" s="7"/>
      <c r="D16" s="7"/>
      <c r="E16" s="7"/>
      <c r="F16" s="7"/>
      <c r="G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>
      <c r="A17" s="7"/>
      <c r="B17" s="7"/>
      <c r="C17" s="7"/>
      <c r="D17" s="7"/>
      <c r="E17" s="7"/>
      <c r="F17" s="7"/>
      <c r="G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>
      <c r="A18" s="7"/>
      <c r="B18" s="7"/>
      <c r="C18" s="7"/>
      <c r="D18" s="7"/>
      <c r="E18" s="7"/>
      <c r="F18" s="7"/>
      <c r="G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>
      <c r="A19" s="7"/>
      <c r="B19" s="7"/>
      <c r="C19" s="7"/>
      <c r="D19" s="7"/>
      <c r="E19" s="7"/>
      <c r="F19" s="7"/>
      <c r="G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>
      <c r="A21" s="7"/>
      <c r="B21" s="7"/>
      <c r="C21" s="7"/>
      <c r="D21" s="7"/>
      <c r="E21" s="7"/>
      <c r="F21" s="7"/>
      <c r="G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>
      <c r="A22" s="7"/>
      <c r="B22" s="7"/>
      <c r="C22" s="7"/>
      <c r="D22" s="7"/>
      <c r="E22" s="7"/>
      <c r="F22" s="7"/>
      <c r="G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>
      <c r="A23" s="7"/>
      <c r="B23" s="7"/>
      <c r="C23" s="7"/>
      <c r="D23" s="7"/>
      <c r="E23" s="7"/>
      <c r="F23" s="7"/>
      <c r="G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>
      <c r="A24" s="7"/>
      <c r="B24" s="7"/>
      <c r="C24" s="7"/>
      <c r="D24" s="7"/>
      <c r="E24" s="7"/>
      <c r="F24" s="7"/>
      <c r="G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>
      <c r="A25" s="7"/>
      <c r="B25" s="7"/>
      <c r="C25" s="7"/>
      <c r="D25" s="7"/>
      <c r="E25" s="7"/>
      <c r="F25" s="7"/>
      <c r="G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>
      <c r="A26" s="7"/>
      <c r="B26" s="7"/>
      <c r="C26" s="7"/>
      <c r="D26" s="7"/>
      <c r="E26" s="7"/>
      <c r="F26" s="7"/>
      <c r="G26" s="7"/>
      <c r="M26" s="7"/>
      <c r="N26" s="21" t="s">
        <v>76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</row>
    <row r="145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</row>
    <row r="151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</row>
    <row r="15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</row>
    <row r="153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</row>
    <row r="178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</row>
    <row r="189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</row>
    <row r="204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</row>
    <row r="205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</row>
    <row r="207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</row>
    <row r="209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</row>
    <row r="211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</row>
    <row r="219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</row>
    <row r="221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</row>
    <row r="223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</row>
    <row r="226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</row>
    <row r="229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</row>
    <row r="230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</row>
    <row r="236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</row>
    <row r="237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</row>
    <row r="241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</row>
    <row r="243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</row>
    <row r="245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</row>
    <row r="247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</row>
    <row r="257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</row>
    <row r="329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</row>
    <row r="344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</row>
    <row r="348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</row>
    <row r="357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</row>
    <row r="383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  <row r="526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</row>
    <row r="527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</row>
    <row r="528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</row>
    <row r="529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</row>
    <row r="530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</row>
    <row r="531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</row>
    <row r="53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</row>
    <row r="533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</row>
    <row r="534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</row>
    <row r="535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</row>
    <row r="536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</row>
    <row r="537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</row>
    <row r="538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</row>
    <row r="539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</row>
    <row r="540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</row>
    <row r="541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</row>
    <row r="54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</row>
    <row r="543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</row>
    <row r="544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</row>
    <row r="545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</row>
    <row r="546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</row>
    <row r="547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</row>
    <row r="548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</row>
    <row r="549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</row>
    <row r="550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</row>
    <row r="551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</row>
    <row r="55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</row>
    <row r="553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</row>
    <row r="554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</row>
    <row r="555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</row>
    <row r="556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</row>
    <row r="557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</row>
    <row r="558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</row>
    <row r="559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</row>
    <row r="560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</row>
    <row r="561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</row>
    <row r="56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</row>
    <row r="563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</row>
    <row r="564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</row>
    <row r="565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</row>
    <row r="566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</row>
    <row r="567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</row>
    <row r="568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</row>
    <row r="569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</row>
    <row r="570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</row>
    <row r="571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</row>
    <row r="57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</row>
    <row r="573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</row>
    <row r="574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</row>
    <row r="575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</row>
    <row r="576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</row>
    <row r="577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</row>
    <row r="578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</row>
    <row r="579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</row>
    <row r="580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</row>
    <row r="581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</row>
    <row r="58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</row>
    <row r="583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</row>
    <row r="584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</row>
    <row r="585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</row>
    <row r="586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</row>
    <row r="587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</row>
    <row r="588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</row>
    <row r="589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</row>
    <row r="590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</row>
    <row r="591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</row>
    <row r="59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</row>
    <row r="593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</row>
    <row r="594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</row>
    <row r="595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</row>
    <row r="596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</row>
    <row r="597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</row>
    <row r="598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</row>
    <row r="599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</row>
    <row r="600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</row>
    <row r="601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</row>
    <row r="60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</row>
    <row r="603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</row>
    <row r="604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</row>
    <row r="605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</row>
    <row r="606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</row>
    <row r="607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</row>
    <row r="608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</row>
    <row r="609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</row>
    <row r="610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</row>
    <row r="611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</row>
    <row r="61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</row>
    <row r="613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</row>
    <row r="614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</row>
    <row r="615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</row>
    <row r="616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</row>
    <row r="617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</row>
    <row r="618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</row>
    <row r="619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</row>
    <row r="620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</row>
    <row r="621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</row>
    <row r="62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</row>
    <row r="623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</row>
    <row r="624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</row>
    <row r="625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</row>
    <row r="626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</row>
    <row r="627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</row>
    <row r="628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</row>
    <row r="629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</row>
    <row r="630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</row>
    <row r="631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</row>
    <row r="63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</row>
    <row r="633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</row>
    <row r="634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</row>
    <row r="635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</row>
    <row r="636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</row>
    <row r="637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</row>
    <row r="638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</row>
    <row r="639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</row>
    <row r="640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</row>
    <row r="641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</row>
    <row r="64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</row>
    <row r="643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</row>
    <row r="644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</row>
    <row r="645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</row>
    <row r="646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</row>
    <row r="647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</row>
    <row r="648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</row>
    <row r="649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</row>
    <row r="650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</row>
    <row r="651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</row>
    <row r="65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</row>
    <row r="653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</row>
    <row r="654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</row>
    <row r="655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</row>
    <row r="656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</row>
    <row r="657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</row>
    <row r="658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</row>
    <row r="659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</row>
    <row r="660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</row>
    <row r="661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</row>
    <row r="66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</row>
    <row r="663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</row>
    <row r="664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</row>
    <row r="665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</row>
    <row r="666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</row>
    <row r="667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</row>
    <row r="668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</row>
    <row r="669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</row>
    <row r="670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</row>
    <row r="671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</row>
    <row r="67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</row>
    <row r="673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</row>
    <row r="674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</row>
    <row r="675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</row>
    <row r="676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</row>
    <row r="677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</row>
    <row r="678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</row>
    <row r="679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</row>
    <row r="680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</row>
    <row r="681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</row>
    <row r="68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</row>
    <row r="683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</row>
    <row r="684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</row>
    <row r="685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</row>
    <row r="686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</row>
    <row r="687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</row>
    <row r="688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</row>
    <row r="689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</row>
    <row r="690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</row>
    <row r="691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</row>
    <row r="69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</row>
    <row r="693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</row>
    <row r="694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</row>
    <row r="695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</row>
    <row r="696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</row>
    <row r="697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</row>
    <row r="698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</row>
    <row r="699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</row>
    <row r="700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</row>
    <row r="701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</row>
    <row r="70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</row>
    <row r="703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</row>
    <row r="704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</row>
    <row r="705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</row>
    <row r="706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</row>
    <row r="707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</row>
    <row r="708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</row>
    <row r="709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</row>
    <row r="710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</row>
    <row r="711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</row>
    <row r="71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</row>
    <row r="713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</row>
    <row r="714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</row>
    <row r="715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</row>
    <row r="716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</row>
    <row r="717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</row>
    <row r="718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</row>
    <row r="719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</row>
    <row r="720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</row>
    <row r="721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</row>
    <row r="72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</row>
    <row r="723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</row>
    <row r="724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</row>
    <row r="725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</row>
    <row r="726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</row>
    <row r="727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</row>
    <row r="728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</row>
    <row r="729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</row>
    <row r="730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</row>
    <row r="731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</row>
    <row r="73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</row>
    <row r="733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</row>
    <row r="734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</row>
    <row r="735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</row>
    <row r="736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</row>
    <row r="737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</row>
    <row r="738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</row>
    <row r="739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</row>
    <row r="740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</row>
    <row r="741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</row>
    <row r="74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</row>
    <row r="743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</row>
    <row r="744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</row>
    <row r="745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</row>
    <row r="746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</row>
    <row r="747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</row>
    <row r="748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</row>
    <row r="749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</row>
    <row r="750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</row>
    <row r="751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</row>
    <row r="75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</row>
    <row r="753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</row>
    <row r="754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</row>
    <row r="755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</row>
    <row r="756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</row>
    <row r="757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</row>
    <row r="758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</row>
    <row r="759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</row>
    <row r="760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</row>
    <row r="761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</row>
    <row r="76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</row>
    <row r="763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</row>
    <row r="764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</row>
    <row r="765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</row>
    <row r="766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</row>
    <row r="767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</row>
    <row r="768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</row>
    <row r="769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</row>
    <row r="770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</row>
    <row r="771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</row>
    <row r="77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</row>
    <row r="773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</row>
    <row r="774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</row>
    <row r="775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</row>
    <row r="776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</row>
    <row r="777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</row>
    <row r="778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</row>
    <row r="779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</row>
    <row r="780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</row>
    <row r="781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</row>
    <row r="78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</row>
    <row r="783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</row>
    <row r="784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</row>
    <row r="785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</row>
    <row r="786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</row>
    <row r="787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</row>
    <row r="788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</row>
    <row r="789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</row>
    <row r="790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</row>
    <row r="791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</row>
    <row r="79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</row>
    <row r="793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</row>
    <row r="794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</row>
    <row r="795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</row>
    <row r="796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</row>
    <row r="797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</row>
    <row r="798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</row>
    <row r="799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</row>
    <row r="800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</row>
    <row r="801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</row>
    <row r="80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</row>
    <row r="803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</row>
    <row r="804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</row>
    <row r="805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</row>
    <row r="806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</row>
    <row r="807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</row>
    <row r="808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</row>
    <row r="809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</row>
    <row r="810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</row>
    <row r="811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</row>
    <row r="81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</row>
    <row r="813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</row>
    <row r="814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</row>
    <row r="815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</row>
    <row r="816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</row>
    <row r="817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</row>
    <row r="818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</row>
    <row r="819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</row>
    <row r="820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</row>
    <row r="821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</row>
    <row r="82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</row>
    <row r="823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</row>
    <row r="824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</row>
    <row r="825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</row>
    <row r="826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</row>
    <row r="827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</row>
    <row r="828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</row>
    <row r="829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</row>
    <row r="830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</row>
    <row r="831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</row>
    <row r="83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</row>
    <row r="833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</row>
    <row r="834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</row>
    <row r="835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</row>
    <row r="836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</row>
    <row r="837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</row>
    <row r="838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</row>
    <row r="839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</row>
    <row r="840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</row>
    <row r="841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</row>
    <row r="84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</row>
    <row r="843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</row>
    <row r="844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</row>
    <row r="845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</row>
    <row r="846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</row>
    <row r="847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</row>
    <row r="848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</row>
    <row r="849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</row>
    <row r="850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</row>
    <row r="851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</row>
    <row r="85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</row>
    <row r="853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</row>
    <row r="854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</row>
    <row r="855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</row>
    <row r="856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</row>
    <row r="857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</row>
    <row r="858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</row>
    <row r="859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</row>
    <row r="860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</row>
    <row r="861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</row>
    <row r="86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</row>
    <row r="863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</row>
    <row r="864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</row>
    <row r="865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</row>
    <row r="866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</row>
    <row r="867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</row>
    <row r="868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</row>
    <row r="869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</row>
    <row r="870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</row>
    <row r="871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</row>
    <row r="87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</row>
    <row r="873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</row>
    <row r="874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</row>
    <row r="875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</row>
    <row r="876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</row>
    <row r="877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</row>
    <row r="878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</row>
    <row r="879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</row>
    <row r="880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</row>
    <row r="881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</row>
    <row r="88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</row>
    <row r="883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</row>
    <row r="884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</row>
    <row r="885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</row>
    <row r="886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</row>
    <row r="887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</row>
    <row r="888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</row>
    <row r="889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</row>
    <row r="890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</row>
    <row r="891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</row>
    <row r="89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</row>
    <row r="893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</row>
    <row r="894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</row>
    <row r="895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</row>
    <row r="896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</row>
    <row r="897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</row>
    <row r="898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</row>
    <row r="899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</row>
    <row r="900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</row>
    <row r="901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</row>
    <row r="90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</row>
    <row r="903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</row>
    <row r="904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</row>
    <row r="905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</row>
    <row r="906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</row>
    <row r="907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</row>
    <row r="908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</row>
    <row r="909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</row>
    <row r="910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</row>
    <row r="911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</row>
    <row r="91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</row>
    <row r="913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</row>
    <row r="914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</row>
    <row r="915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</row>
    <row r="916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</row>
    <row r="917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</row>
    <row r="918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</row>
    <row r="919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</row>
    <row r="920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</row>
    <row r="921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</row>
    <row r="92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</row>
    <row r="923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</row>
    <row r="924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</row>
    <row r="925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</row>
    <row r="926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</row>
    <row r="927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</row>
    <row r="928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</row>
    <row r="929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</row>
    <row r="930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</row>
    <row r="931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</row>
    <row r="93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</row>
    <row r="933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</row>
    <row r="934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</row>
    <row r="935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</row>
    <row r="936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</row>
    <row r="937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</row>
    <row r="938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</row>
    <row r="939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</row>
    <row r="940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</row>
    <row r="941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</row>
    <row r="94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</row>
    <row r="943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</row>
    <row r="944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</row>
    <row r="945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</row>
    <row r="946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</row>
    <row r="947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</row>
    <row r="948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</row>
    <row r="949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</row>
    <row r="950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</row>
    <row r="951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</row>
    <row r="95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</row>
    <row r="953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</row>
    <row r="954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</row>
    <row r="955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</row>
    <row r="956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</row>
    <row r="957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</row>
    <row r="958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</row>
    <row r="959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</row>
    <row r="960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</row>
    <row r="961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</row>
    <row r="96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</row>
    <row r="963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</row>
    <row r="964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</row>
    <row r="965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</row>
    <row r="966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</row>
    <row r="967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</row>
    <row r="968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</row>
    <row r="969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</row>
    <row r="970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</row>
    <row r="971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</row>
    <row r="97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</row>
    <row r="973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</row>
    <row r="974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</row>
    <row r="975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</row>
    <row r="976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</row>
    <row r="977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</row>
    <row r="978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</row>
    <row r="979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</row>
    <row r="980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</row>
    <row r="981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</row>
    <row r="98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</row>
    <row r="983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</row>
    <row r="984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</row>
    <row r="985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</row>
    <row r="986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</row>
    <row r="987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</row>
    <row r="988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</row>
    <row r="989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</row>
    <row r="990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</row>
    <row r="991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</row>
    <row r="99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</row>
    <row r="993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</row>
    <row r="994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</row>
    <row r="995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</row>
    <row r="996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</row>
    <row r="997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</row>
    <row r="998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</row>
    <row r="999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</row>
    <row r="1000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</row>
  </sheetData>
  <drawing r:id="rId5"/>
  <tableParts count="2"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6.38"/>
    <col customWidth="1" min="3" max="3" width="15.38"/>
    <col hidden="1" min="6" max="26" width="12.63"/>
  </cols>
  <sheetData>
    <row r="1">
      <c r="A1" s="2" t="s">
        <v>2</v>
      </c>
      <c r="B1" s="2" t="s">
        <v>77</v>
      </c>
      <c r="C1" s="2" t="s">
        <v>78</v>
      </c>
      <c r="D1" s="2" t="s">
        <v>79</v>
      </c>
      <c r="E1" s="2" t="s">
        <v>28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15</v>
      </c>
      <c r="B2" s="6">
        <f>SUMIF(Sales!B:B,A2,Sales!D:D)</f>
        <v>181250</v>
      </c>
      <c r="C2" s="6">
        <f t="shared" ref="C2:C6" si="1"> $B$2:B2</f>
        <v>181250</v>
      </c>
      <c r="D2" s="6">
        <f t="shared" ref="D2:D6" si="2">C2/SUM($B$2:$B$6)</f>
        <v>0.2944760357</v>
      </c>
      <c r="E2" s="22" t="str">
        <f t="shared" ref="E2:E6" si="3">IF(D2&lt;=0.7,"A",IF(D2&lt;=0.9,"B","C"))</f>
        <v>A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18</v>
      </c>
      <c r="B3" s="6">
        <f>SUMIF(Sales!B:B,A3,Sales!D:D)</f>
        <v>77550</v>
      </c>
      <c r="C3" s="6">
        <f t="shared" si="1"/>
        <v>77550</v>
      </c>
      <c r="D3" s="6">
        <f t="shared" si="2"/>
        <v>0.1259951259</v>
      </c>
      <c r="E3" s="22" t="str">
        <f t="shared" si="3"/>
        <v>A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21</v>
      </c>
      <c r="B4" s="6">
        <f>SUMIF(Sales!B:B,A4,Sales!D:D)</f>
        <v>109350</v>
      </c>
      <c r="C4" s="6">
        <f t="shared" si="1"/>
        <v>109350</v>
      </c>
      <c r="D4" s="6">
        <f t="shared" si="2"/>
        <v>0.1776604387</v>
      </c>
      <c r="E4" s="22" t="str">
        <f t="shared" si="3"/>
        <v>A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24</v>
      </c>
      <c r="B5" s="6">
        <f>SUMIF(Sales!B:B,A5,Sales!D:D)</f>
        <v>68850</v>
      </c>
      <c r="C5" s="6">
        <f t="shared" si="1"/>
        <v>68850</v>
      </c>
      <c r="D5" s="6">
        <f t="shared" si="2"/>
        <v>0.1118602762</v>
      </c>
      <c r="E5" s="22" t="str">
        <f t="shared" si="3"/>
        <v>A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26</v>
      </c>
      <c r="B6" s="6">
        <f>SUMIF(Sales!B:B,A6,Sales!D:D)</f>
        <v>178500</v>
      </c>
      <c r="C6" s="6">
        <f t="shared" si="1"/>
        <v>178500</v>
      </c>
      <c r="D6" s="6">
        <f t="shared" si="2"/>
        <v>0.2900081235</v>
      </c>
      <c r="E6" s="22" t="str">
        <f t="shared" si="3"/>
        <v>A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idden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idden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idden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idden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idden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idden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idden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idden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idden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idden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idden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idden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idden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idden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idden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1.0"/>
    <col customWidth="1" min="3" max="3" width="14.63"/>
    <col customWidth="1" min="4" max="4" width="12.75"/>
    <col customWidth="1" min="5" max="6" width="11.0"/>
    <col customWidth="1" hidden="1" min="7" max="26" width="11.0"/>
  </cols>
  <sheetData>
    <row r="1">
      <c r="A1" s="2" t="s">
        <v>2</v>
      </c>
      <c r="B1" s="2" t="s">
        <v>80</v>
      </c>
      <c r="C1" s="2" t="s">
        <v>81</v>
      </c>
      <c r="D1" s="2" t="s">
        <v>82</v>
      </c>
      <c r="E1" s="2" t="s">
        <v>30</v>
      </c>
      <c r="F1" s="2" t="s">
        <v>83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15</v>
      </c>
      <c r="B2" s="6">
        <f>sumif(Inventory!A:A,A2,Inventory!C:C)</f>
        <v>1450</v>
      </c>
      <c r="C2" s="6">
        <f>AVERAGEIF(Sales!B:B,A2,Sales!C:C)</f>
        <v>1450</v>
      </c>
      <c r="D2" s="6">
        <f t="shared" ref="D2:D6" si="1">B2/(C2/30)</f>
        <v>30</v>
      </c>
      <c r="E2" s="6">
        <f>VLOOKUP(A2,Products!A1:F6,5,0)</f>
        <v>200</v>
      </c>
      <c r="F2" s="6" t="str">
        <f t="shared" ref="F2:F6" si="2">if(B2&lt;E2,"Critical",IF(B2&lt;E2*1.5,"Low",IF(B2&gt;E2*4,"Excess","Ok")))</f>
        <v>Excess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18</v>
      </c>
      <c r="B3" s="6">
        <f>sumif(Inventory!A:A,A3,Inventory!C:C)</f>
        <v>920</v>
      </c>
      <c r="C3" s="6">
        <f>AVERAGEIF(Sales!B:B,A3,Sales!C:C)</f>
        <v>1034</v>
      </c>
      <c r="D3" s="13">
        <f t="shared" si="1"/>
        <v>26.69245648</v>
      </c>
      <c r="E3" s="6">
        <f>VLOOKUP(A3,Products!A2:F7,5,0)</f>
        <v>150</v>
      </c>
      <c r="F3" s="6" t="str">
        <f t="shared" si="2"/>
        <v>Excess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21</v>
      </c>
      <c r="B4" s="6">
        <f>sumif(Inventory!A:A,A4,Inventory!C:C)</f>
        <v>945</v>
      </c>
      <c r="C4" s="6">
        <f>AVERAGEIF(Sales!B:B,A4,Sales!C:C)</f>
        <v>486</v>
      </c>
      <c r="D4" s="13">
        <f t="shared" si="1"/>
        <v>58.33333333</v>
      </c>
      <c r="E4" s="6">
        <f>VLOOKUP(A4,Products!A3:F8,5,0)</f>
        <v>100</v>
      </c>
      <c r="F4" s="6" t="str">
        <f t="shared" si="2"/>
        <v>Excess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24</v>
      </c>
      <c r="B5" s="6">
        <f>sumif(Inventory!A:A,A5,Inventory!C:C)</f>
        <v>220</v>
      </c>
      <c r="C5" s="6">
        <f>AVERAGEIF(Sales!B:B,A5,Sales!C:C)</f>
        <v>162</v>
      </c>
      <c r="D5" s="13">
        <f t="shared" si="1"/>
        <v>40.74074074</v>
      </c>
      <c r="E5" s="6">
        <f>VLOOKUP(A5,Products!A4:F9,5,0)</f>
        <v>50</v>
      </c>
      <c r="F5" s="6" t="str">
        <f t="shared" si="2"/>
        <v>Excess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26</v>
      </c>
      <c r="B6" s="6">
        <f>sumif(Inventory!A:A,A6,Inventory!C:C)</f>
        <v>1220</v>
      </c>
      <c r="C6" s="6">
        <f>AVERAGEIF(Sales!B:B,A6,Sales!C:C)</f>
        <v>1190</v>
      </c>
      <c r="D6" s="13">
        <f t="shared" si="1"/>
        <v>30.75630252</v>
      </c>
      <c r="E6" s="6">
        <f>VLOOKUP(A6,Products!A5:F10,5,0)</f>
        <v>175</v>
      </c>
      <c r="F6" s="6" t="str">
        <f t="shared" si="2"/>
        <v>Excess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idden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idden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idden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idden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idden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idden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idden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idden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idden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idden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idden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idden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idden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idden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idden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idden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idden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idden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idden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idden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idden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idden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idden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idden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idden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idden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idden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idden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idden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idden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idden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idden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idden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idden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idden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idden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idden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idden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idden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idden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idden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idden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idden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idden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idden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idden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idden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idden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idden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idden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idden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idden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idden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idden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idden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idden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idden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idden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idden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idden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idden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idden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idden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idden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idden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idden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idden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idden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idden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idden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idden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idden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idden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idden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idden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idden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idden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idden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idden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idden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idden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idden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idden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idden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idden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idden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idden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idden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idden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idden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idden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idden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idden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idden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idden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idden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idden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idden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idden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idden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idden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idden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idden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idden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idden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idden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idden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idden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idden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idden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idden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idden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idden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idden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idden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idden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idden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idden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idden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idden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idden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idden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idden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idden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idden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idden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idden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idden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idden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idden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idden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idden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idden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idden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idden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idden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idden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idden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idden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idden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idden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idden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idden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idden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idden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idden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idden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idden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idden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idden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idden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idden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idden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idden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idden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idden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idden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idden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idden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idden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idden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idden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idden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idden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idden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idden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idden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idden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idden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idden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idden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idden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idden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idden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idden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idden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idden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idden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idden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idden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idden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idden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idden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idden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idden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idden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idden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idden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idden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idden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idden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idden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idden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idden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idden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idden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idden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idden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idden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idden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idden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idden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idden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idden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idden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idden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idden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idden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idden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idden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idden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idden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idden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idden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idden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idden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idden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idden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idden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idden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idden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idden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idden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idden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idden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idden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idden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idden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idden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idden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idden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idden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idden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idden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idden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idden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idden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idden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idden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idden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idden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idden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idden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idden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idden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idden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idden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idden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idden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idden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idden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idden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idden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idden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idden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idden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idden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idden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idden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idden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idden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idden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idden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idden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idden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idden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idden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idden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idden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idden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idden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idden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idden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idden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idden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idden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idden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idden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idden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idden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idden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idden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idden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idden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idden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idden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idden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idden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idden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idden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idden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idden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idden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idden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idden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idden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idden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idden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idden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idden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idden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idden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idden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idden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idden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idden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idden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idden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idden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idden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idden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idden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idden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idden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idden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idden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idden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idden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idden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idden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idden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idden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idden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idden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idden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idden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idden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idden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idden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idden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idden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idden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idden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idden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idden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idden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idden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idden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idden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idden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idden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idden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idden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idden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idden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idden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idden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idden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idden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idden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idden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idden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idden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idden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idden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idden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idden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idden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idden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idden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idden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idden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idden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idden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idden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idden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idden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idden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idden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idden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idden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idden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idden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idden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idden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idden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idden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idden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idden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idden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idden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idden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idden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idden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idden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idden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idden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idden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idden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idden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idden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idden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idden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idden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idden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idden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idden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idden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idden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idden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idden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idden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idden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idden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idden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idden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idden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idden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idden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idden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idden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idden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idden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idden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idden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idden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idden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idden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idden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idden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idden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idden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idden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idden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idden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idden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idden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idden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idden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idden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idden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idden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idden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idden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idden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idden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idden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idden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idden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idden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idden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idden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idden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idden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idden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idden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idden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idden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idden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idden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idden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idden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idden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idden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idden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idden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idden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idden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idden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idden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idden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idden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idden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idden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idden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idden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idden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idden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idden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idden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idden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idden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idden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idden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idden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idden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idden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idden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idden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idden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idden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idden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idden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idden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idden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idden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idden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idden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idden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idden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idden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idden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idden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idden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idden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idden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idden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idden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idden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idden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idden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idden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idden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idden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idden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idden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idden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idden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idden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idden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idden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idden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idden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idden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idden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idden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idden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idden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idden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idden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idden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idden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idden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idden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idden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idden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idden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idden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idden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idden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idden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idden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idden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idden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idden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idden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idden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idden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idden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idden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idden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idden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idden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idden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idden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idden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idden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idden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idden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idden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idden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idden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idden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idden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idden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idden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idden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idden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idden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idden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idden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idden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idden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idden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idden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idden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idden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idden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idden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idden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idden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idden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idden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idden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idden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idden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idden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idden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idden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idden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idden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idden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idden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idden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idden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idden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idden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idden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idden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idden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idden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idden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idden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idden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idden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idden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idden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idden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idden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idden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idden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idden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idden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idden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idden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idden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idden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idden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idden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idden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idden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idden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idden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idden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idden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idden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idden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idden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idden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idden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idden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idden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idden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idden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idden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idden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idden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idden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idden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idden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idden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idden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idden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idden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idden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idden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idden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idden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idden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idden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idden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idden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idden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idden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idden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idden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idden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idden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idden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idden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idden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idden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idden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idden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idden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idden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idden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idden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idden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idden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idden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idden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idden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idden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idden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idden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idden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idden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idden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idden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idden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idden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idden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idden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idden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idden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idden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idden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idden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idden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idden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idden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idden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idden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idden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idden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idden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idden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idden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idden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idden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idden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idden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idden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idden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idden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idden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idden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idden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idden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idden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idden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idden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idden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idden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idden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idden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idden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idden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idden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idden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idden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idden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idden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idden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idden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idden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idden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idden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idden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idden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idden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idden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idden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idden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idden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idden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idden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idden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idden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idden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idden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idden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idden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idden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idden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idden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idden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idden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idden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idden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idden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idden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idden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idden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idden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idden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idden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idden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idden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idden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idden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idden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idden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idden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idden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idden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idden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idden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idden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idden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idden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idden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idden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idden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idden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idden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idden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idden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idden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idden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idden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idden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idden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idden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idden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idden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idden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idden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idden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idden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idden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idden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idden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idden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idden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idden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idden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idden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idden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idden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idden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idden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idden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idden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idden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idden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idden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idden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idden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idden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idden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idden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idden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idden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idden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idden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idden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idden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idden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idden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idden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idden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idden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idden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idden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idden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idden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idden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idden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idden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idden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idden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idden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idden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idden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idden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idden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idden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idden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idden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idden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idden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idden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idden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idden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idden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idden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idden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idden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idden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idden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idden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idden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idden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idden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idden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idden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idden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idden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idden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idden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idden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idden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idden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idden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idden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idden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idden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idden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idden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idden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idden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idden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idden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idden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idden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idden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idden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idden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idden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idden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idden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idden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idden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idden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idden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idden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idden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idden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idden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idden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idden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idden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idden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idden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idden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idden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idden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idden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idden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idden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idden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idden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idden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idden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idden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idden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idden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idden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idden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idden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idden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idden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idden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idden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idden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idden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idden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idden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idden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idden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idden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idden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idden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idden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idden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idden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idden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idden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idden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idden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idden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idden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idden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idden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idden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idden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idden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idden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idden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idden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idden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idden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idden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idden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idden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idden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idden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idden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idden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idden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idden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idden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idden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idden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  <tableParts count="1">
    <tablePart r:id="rId3"/>
  </tableParts>
</worksheet>
</file>